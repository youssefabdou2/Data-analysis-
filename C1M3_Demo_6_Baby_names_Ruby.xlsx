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hart1" sheetId="2" r:id="rId5"/>
  </sheets>
  <definedNames>
    <definedName hidden="1" localSheetId="0" name="_xlnm._FilterDatabase">Data!$A$1:$D$1000</definedName>
  </definedNames>
  <calcPr/>
</workbook>
</file>

<file path=xl/sharedStrings.xml><?xml version="1.0" encoding="utf-8"?>
<sst xmlns="http://schemas.openxmlformats.org/spreadsheetml/2006/main" count="292" uniqueCount="8">
  <si>
    <t>Name</t>
  </si>
  <si>
    <t>Sex</t>
  </si>
  <si>
    <t>Year</t>
  </si>
  <si>
    <t>Count</t>
  </si>
  <si>
    <t>Moving Average</t>
  </si>
  <si>
    <t>% Change</t>
  </si>
  <si>
    <t>Ruby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</si>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</sst>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7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D7BA"/>
        <bgColor rgb="FF9CD7BA"/>
      </patternFill>
    </fill>
    <fill>
      <patternFill patternType="solid">
        <fgColor rgb="FFCFECDE"/>
        <bgColor rgb="FFCFECDE"/>
      </patternFill>
    </fill>
    <fill>
      <patternFill patternType="solid">
        <fgColor rgb="FFFEFFFF"/>
        <bgColor rgb="FFFEFFFF"/>
      </patternFill>
    </fill>
    <fill>
      <patternFill patternType="solid">
        <fgColor rgb="FFBCE4D1"/>
        <bgColor rgb="FFBCE4D1"/>
      </patternFill>
    </fill>
    <fill>
      <patternFill patternType="solid">
        <fgColor rgb="FFFCFEFD"/>
        <bgColor rgb="FFFCFEFD"/>
      </patternFill>
    </fill>
    <fill>
      <patternFill patternType="solid">
        <fgColor rgb="FF57BB8A"/>
        <bgColor rgb="FF57BB8A"/>
      </patternFill>
    </fill>
    <fill>
      <patternFill patternType="solid">
        <fgColor rgb="FFD9F0E4"/>
        <bgColor rgb="FFD9F0E4"/>
      </patternFill>
    </fill>
    <fill>
      <patternFill patternType="solid">
        <fgColor rgb="FFFBFEFD"/>
        <bgColor rgb="FFFBFEFD"/>
      </patternFill>
    </fill>
    <fill>
      <patternFill patternType="solid">
        <fgColor rgb="FFDBF1E6"/>
        <bgColor rgb="FFDBF1E6"/>
      </patternFill>
    </fill>
    <fill>
      <patternFill patternType="solid">
        <fgColor rgb="FFFBFEFC"/>
        <bgColor rgb="FFFBFEFC"/>
      </patternFill>
    </fill>
    <fill>
      <patternFill patternType="solid">
        <fgColor rgb="FFF7FCF9"/>
        <bgColor rgb="FFF7FCF9"/>
      </patternFill>
    </fill>
    <fill>
      <patternFill patternType="solid">
        <fgColor rgb="FFF8FDFB"/>
        <bgColor rgb="FFF8FDFB"/>
      </patternFill>
    </fill>
    <fill>
      <patternFill patternType="solid">
        <fgColor rgb="FF6BC398"/>
        <bgColor rgb="FF6BC398"/>
      </patternFill>
    </fill>
    <fill>
      <patternFill patternType="solid">
        <fgColor rgb="FFC5E8D7"/>
        <bgColor rgb="FFC5E8D7"/>
      </patternFill>
    </fill>
    <fill>
      <patternFill patternType="solid">
        <fgColor rgb="FFF6FCF9"/>
        <bgColor rgb="FFF6FCF9"/>
      </patternFill>
    </fill>
    <fill>
      <patternFill patternType="solid">
        <fgColor rgb="FFF4FBF7"/>
        <bgColor rgb="FFF4FBF7"/>
      </patternFill>
    </fill>
    <fill>
      <patternFill patternType="solid">
        <fgColor rgb="FFF3FBF7"/>
        <bgColor rgb="FFF3FBF7"/>
      </patternFill>
    </fill>
    <fill>
      <patternFill patternType="solid">
        <fgColor rgb="FFA9DDC4"/>
        <bgColor rgb="FFA9DDC4"/>
      </patternFill>
    </fill>
    <fill>
      <patternFill patternType="solid">
        <fgColor rgb="FFF2FAF6"/>
        <bgColor rgb="FFF2FAF6"/>
      </patternFill>
    </fill>
    <fill>
      <patternFill patternType="solid">
        <fgColor rgb="FFDCF1E6"/>
        <bgColor rgb="FFDCF1E6"/>
      </patternFill>
    </fill>
    <fill>
      <patternFill patternType="solid">
        <fgColor rgb="FFF0F9F4"/>
        <bgColor rgb="FFF0F9F4"/>
      </patternFill>
    </fill>
    <fill>
      <patternFill patternType="solid">
        <fgColor rgb="FFD1EDDF"/>
        <bgColor rgb="FFD1EDDF"/>
      </patternFill>
    </fill>
    <fill>
      <patternFill patternType="solid">
        <fgColor rgb="FFEEF8F3"/>
        <bgColor rgb="FFEEF8F3"/>
      </patternFill>
    </fill>
    <fill>
      <patternFill patternType="solid">
        <fgColor rgb="FFE1F3EA"/>
        <bgColor rgb="FFE1F3EA"/>
      </patternFill>
    </fill>
    <fill>
      <patternFill patternType="solid">
        <fgColor rgb="FFEDF8F3"/>
        <bgColor rgb="FFEDF8F3"/>
      </patternFill>
    </fill>
    <fill>
      <patternFill patternType="solid">
        <fgColor rgb="FFF1FAF6"/>
        <bgColor rgb="FFF1FAF6"/>
      </patternFill>
    </fill>
    <fill>
      <patternFill patternType="solid">
        <fgColor rgb="FFEDF8F2"/>
        <bgColor rgb="FFEDF8F2"/>
      </patternFill>
    </fill>
    <fill>
      <patternFill patternType="solid">
        <fgColor rgb="FFF5FBF8"/>
        <bgColor rgb="FFF5FBF8"/>
      </patternFill>
    </fill>
    <fill>
      <patternFill patternType="solid">
        <fgColor rgb="FFE9F7F0"/>
        <bgColor rgb="FFE9F7F0"/>
      </patternFill>
    </fill>
    <fill>
      <patternFill patternType="solid">
        <fgColor rgb="FFC9E9D9"/>
        <bgColor rgb="FFC9E9D9"/>
      </patternFill>
    </fill>
    <fill>
      <patternFill patternType="solid">
        <fgColor rgb="FFEBF7F1"/>
        <bgColor rgb="FFEBF7F1"/>
      </patternFill>
    </fill>
    <fill>
      <patternFill patternType="solid">
        <fgColor rgb="FFF5CFCC"/>
        <bgColor rgb="FFF5CFCC"/>
      </patternFill>
    </fill>
    <fill>
      <patternFill patternType="solid">
        <fgColor rgb="FFE2F4EB"/>
        <bgColor rgb="FFE2F4EB"/>
      </patternFill>
    </fill>
    <fill>
      <patternFill patternType="solid">
        <fgColor rgb="FF7AC9A2"/>
        <bgColor rgb="FF7AC9A2"/>
      </patternFill>
    </fill>
    <fill>
      <patternFill patternType="solid">
        <fgColor rgb="FFE9F6F0"/>
        <bgColor rgb="FFE9F6F0"/>
      </patternFill>
    </fill>
    <fill>
      <patternFill patternType="solid">
        <fgColor rgb="FFE67C73"/>
        <bgColor rgb="FFE67C73"/>
      </patternFill>
    </fill>
    <fill>
      <patternFill patternType="solid">
        <fgColor rgb="FFE4F4EC"/>
        <bgColor rgb="FFE4F4EC"/>
      </patternFill>
    </fill>
    <fill>
      <patternFill patternType="solid">
        <fgColor rgb="FFBFE5D3"/>
        <bgColor rgb="FFBFE5D3"/>
      </patternFill>
    </fill>
    <fill>
      <patternFill patternType="solid">
        <fgColor rgb="FFDFF2E9"/>
        <bgColor rgb="FFDFF2E9"/>
      </patternFill>
    </fill>
    <fill>
      <patternFill patternType="solid">
        <fgColor rgb="FFDCF1E7"/>
        <bgColor rgb="FFDCF1E7"/>
      </patternFill>
    </fill>
    <fill>
      <patternFill patternType="solid">
        <fgColor rgb="FFDAF0E5"/>
        <bgColor rgb="FFDAF0E5"/>
      </patternFill>
    </fill>
    <fill>
      <patternFill patternType="solid">
        <fgColor rgb="FFD7EFE3"/>
        <bgColor rgb="FFD7EFE3"/>
      </patternFill>
    </fill>
    <fill>
      <patternFill patternType="solid">
        <fgColor rgb="FFE5F5ED"/>
        <bgColor rgb="FFE5F5ED"/>
      </patternFill>
    </fill>
    <fill>
      <patternFill patternType="solid">
        <fgColor rgb="FFD4EEE1"/>
        <bgColor rgb="FFD4EEE1"/>
      </patternFill>
    </fill>
    <fill>
      <patternFill patternType="solid">
        <fgColor rgb="FFCEECDD"/>
        <bgColor rgb="FFCEECDD"/>
      </patternFill>
    </fill>
    <fill>
      <patternFill patternType="solid">
        <fgColor rgb="FFD3EDE0"/>
        <bgColor rgb="FFD3EDE0"/>
      </patternFill>
    </fill>
    <fill>
      <patternFill patternType="solid">
        <fgColor rgb="FFC7E9D8"/>
        <bgColor rgb="FFC7E9D8"/>
      </patternFill>
    </fill>
    <fill>
      <patternFill patternType="solid">
        <fgColor rgb="FFCEEBDD"/>
        <bgColor rgb="FFCEEBDD"/>
      </patternFill>
    </fill>
    <fill>
      <patternFill patternType="solid">
        <fgColor rgb="FFBDE5D1"/>
        <bgColor rgb="FFBDE5D1"/>
      </patternFill>
    </fill>
    <fill>
      <patternFill patternType="solid">
        <fgColor rgb="FFC8E9D9"/>
        <bgColor rgb="FFC8E9D9"/>
      </patternFill>
    </fill>
    <fill>
      <patternFill patternType="solid">
        <fgColor rgb="FFA7DCC2"/>
        <bgColor rgb="FFA7DCC2"/>
      </patternFill>
    </fill>
    <fill>
      <patternFill patternType="solid">
        <fgColor rgb="FF93D4B4"/>
        <bgColor rgb="FF93D4B4"/>
      </patternFill>
    </fill>
    <fill>
      <patternFill patternType="solid">
        <fgColor rgb="FF9ED8BC"/>
        <bgColor rgb="FF9ED8BC"/>
      </patternFill>
    </fill>
    <fill>
      <patternFill patternType="solid">
        <fgColor rgb="FF90D2B2"/>
        <bgColor rgb="FF90D2B2"/>
      </patternFill>
    </fill>
    <fill>
      <patternFill patternType="solid">
        <fgColor rgb="FFCFECDD"/>
        <bgColor rgb="FFCFECDD"/>
      </patternFill>
    </fill>
    <fill>
      <patternFill patternType="solid">
        <fgColor rgb="FF6FC59B"/>
        <bgColor rgb="FF6FC59B"/>
      </patternFill>
    </fill>
    <fill>
      <patternFill patternType="solid">
        <fgColor rgb="FF9FD8BC"/>
        <bgColor rgb="FF9FD8BC"/>
      </patternFill>
    </fill>
    <fill>
      <patternFill patternType="solid">
        <fgColor rgb="FF66C195"/>
        <bgColor rgb="FF66C195"/>
      </patternFill>
    </fill>
    <fill>
      <patternFill patternType="solid">
        <fgColor rgb="FF67C295"/>
        <bgColor rgb="FF67C295"/>
      </patternFill>
    </fill>
    <fill>
      <patternFill patternType="solid">
        <fgColor rgb="FFFEFDFC"/>
        <bgColor rgb="FFFEFDFC"/>
      </patternFill>
    </fill>
    <fill>
      <patternFill patternType="solid">
        <fgColor rgb="FF5DBE8E"/>
        <bgColor rgb="FF5DBE8E"/>
      </patternFill>
    </fill>
    <fill>
      <patternFill patternType="solid">
        <fgColor rgb="FF59BC8C"/>
        <bgColor rgb="FF59BC8C"/>
      </patternFill>
    </fill>
    <fill>
      <patternFill patternType="solid">
        <fgColor rgb="FFF7FCFA"/>
        <bgColor rgb="FFF7FCFA"/>
      </patternFill>
    </fill>
    <fill>
      <patternFill patternType="solid">
        <fgColor rgb="FF59BC8B"/>
        <bgColor rgb="FF59BC8B"/>
      </patternFill>
    </fill>
    <fill>
      <patternFill patternType="solid">
        <fgColor rgb="FFFEFEFE"/>
        <bgColor rgb="FFFEFEFE"/>
      </patternFill>
    </fill>
    <fill>
      <patternFill patternType="solid">
        <fgColor rgb="FF60BF90"/>
        <bgColor rgb="FF60BF90"/>
      </patternFill>
    </fill>
    <fill>
      <patternFill patternType="solid">
        <fgColor rgb="FFFAE5E3"/>
        <bgColor rgb="FFFAE5E3"/>
      </patternFill>
    </fill>
    <fill>
      <patternFill patternType="solid">
        <fgColor rgb="FF5BBD8D"/>
        <bgColor rgb="FF5BBD8D"/>
      </patternFill>
    </fill>
    <fill>
      <patternFill patternType="solid">
        <fgColor rgb="FF63C092"/>
        <bgColor rgb="FF63C092"/>
      </patternFill>
    </fill>
    <fill>
      <patternFill patternType="solid">
        <fgColor rgb="FFF6D4D1"/>
        <bgColor rgb="FFF6D4D1"/>
      </patternFill>
    </fill>
    <fill>
      <patternFill patternType="solid">
        <fgColor rgb="FF6AC398"/>
        <bgColor rgb="FF6AC398"/>
      </patternFill>
    </fill>
    <fill>
      <patternFill patternType="solid">
        <fgColor rgb="FFF9E0DE"/>
        <bgColor rgb="FFF9E0DE"/>
      </patternFill>
    </fill>
    <fill>
      <patternFill patternType="solid">
        <fgColor rgb="FFFBECEB"/>
        <bgColor rgb="FFFBECEB"/>
      </patternFill>
    </fill>
    <fill>
      <patternFill patternType="solid">
        <fgColor rgb="FF7ACAA3"/>
        <bgColor rgb="FF7ACAA3"/>
      </patternFill>
    </fill>
    <fill>
      <patternFill patternType="solid">
        <fgColor rgb="FFF5CCC9"/>
        <bgColor rgb="FFF5CCC9"/>
      </patternFill>
    </fill>
    <fill>
      <patternFill patternType="solid">
        <fgColor rgb="FF85CEAA"/>
        <bgColor rgb="FF85CEAA"/>
      </patternFill>
    </fill>
    <fill>
      <patternFill patternType="solid">
        <fgColor rgb="FFF5CBC7"/>
        <bgColor rgb="FFF5CBC7"/>
      </patternFill>
    </fill>
    <fill>
      <patternFill patternType="solid">
        <fgColor rgb="FF88CFAC"/>
        <bgColor rgb="FF88CFAC"/>
      </patternFill>
    </fill>
    <fill>
      <patternFill patternType="solid">
        <fgColor rgb="FFFBEEED"/>
        <bgColor rgb="FFFBEEED"/>
      </patternFill>
    </fill>
    <fill>
      <patternFill patternType="solid">
        <fgColor rgb="FF96D5B6"/>
        <bgColor rgb="FF96D5B6"/>
      </patternFill>
    </fill>
    <fill>
      <patternFill patternType="solid">
        <fgColor rgb="FFF1B8B3"/>
        <bgColor rgb="FFF1B8B3"/>
      </patternFill>
    </fill>
    <fill>
      <patternFill patternType="solid">
        <fgColor rgb="FF9DD8BB"/>
        <bgColor rgb="FF9DD8BB"/>
      </patternFill>
    </fill>
    <fill>
      <patternFill patternType="solid">
        <fgColor rgb="FFF3C1BD"/>
        <bgColor rgb="FFF3C1BD"/>
      </patternFill>
    </fill>
    <fill>
      <patternFill patternType="solid">
        <fgColor rgb="FFFDFFFE"/>
        <bgColor rgb="FFFDFFFE"/>
      </patternFill>
    </fill>
    <fill>
      <patternFill patternType="solid">
        <fgColor rgb="FFA1D9BE"/>
        <bgColor rgb="FFA1D9BE"/>
      </patternFill>
    </fill>
    <fill>
      <patternFill patternType="solid">
        <fgColor rgb="FFF9E3E1"/>
        <bgColor rgb="FFF9E3E1"/>
      </patternFill>
    </fill>
    <fill>
      <patternFill patternType="solid">
        <fgColor rgb="FFACDEC5"/>
        <bgColor rgb="FFACDEC5"/>
      </patternFill>
    </fill>
    <fill>
      <patternFill patternType="solid">
        <fgColor rgb="FFF1B6B1"/>
        <bgColor rgb="FFF1B6B1"/>
      </patternFill>
    </fill>
    <fill>
      <patternFill patternType="solid">
        <fgColor rgb="FFABDDC4"/>
        <bgColor rgb="FFABDDC4"/>
      </patternFill>
    </fill>
    <fill>
      <patternFill patternType="solid">
        <fgColor rgb="FFFAFDFC"/>
        <bgColor rgb="FFFAFDFC"/>
      </patternFill>
    </fill>
    <fill>
      <patternFill patternType="solid">
        <fgColor rgb="FFB2E0C9"/>
        <bgColor rgb="FFB2E0C9"/>
      </patternFill>
    </fill>
    <fill>
      <patternFill patternType="solid">
        <fgColor rgb="FFF5CAC7"/>
        <bgColor rgb="FFF5CAC7"/>
      </patternFill>
    </fill>
    <fill>
      <patternFill patternType="solid">
        <fgColor rgb="FFB6E2CD"/>
        <bgColor rgb="FFB6E2CD"/>
      </patternFill>
    </fill>
    <fill>
      <patternFill patternType="solid">
        <fgColor rgb="FFF7D9D7"/>
        <bgColor rgb="FFF7D9D7"/>
      </patternFill>
    </fill>
    <fill>
      <patternFill patternType="solid">
        <fgColor rgb="FFB8E3CE"/>
        <bgColor rgb="FFB8E3CE"/>
      </patternFill>
    </fill>
    <fill>
      <patternFill patternType="solid">
        <fgColor rgb="FFB9E3CE"/>
        <bgColor rgb="FFB9E3CE"/>
      </patternFill>
    </fill>
    <fill>
      <patternFill patternType="solid">
        <fgColor rgb="FFFDF8F7"/>
        <bgColor rgb="FFFDF8F7"/>
      </patternFill>
    </fill>
    <fill>
      <patternFill patternType="solid">
        <fgColor rgb="FFBAE3CF"/>
        <bgColor rgb="FFBAE3CF"/>
      </patternFill>
    </fill>
    <fill>
      <patternFill patternType="solid">
        <fgColor rgb="FFFCF4F3"/>
        <bgColor rgb="FFFCF4F3"/>
      </patternFill>
    </fill>
    <fill>
      <patternFill patternType="solid">
        <fgColor rgb="FFBBE4D0"/>
        <bgColor rgb="FFBBE4D0"/>
      </patternFill>
    </fill>
    <fill>
      <patternFill patternType="solid">
        <fgColor rgb="FFFDF5F4"/>
        <bgColor rgb="FFFDF5F4"/>
      </patternFill>
    </fill>
    <fill>
      <patternFill patternType="solid">
        <fgColor rgb="FFC1E6D4"/>
        <bgColor rgb="FFC1E6D4"/>
      </patternFill>
    </fill>
    <fill>
      <patternFill patternType="solid">
        <fgColor rgb="FFF5CBC8"/>
        <bgColor rgb="FFF5CBC8"/>
      </patternFill>
    </fill>
    <fill>
      <patternFill patternType="solid">
        <fgColor rgb="FFC7E8D8"/>
        <bgColor rgb="FFC7E8D8"/>
      </patternFill>
    </fill>
    <fill>
      <patternFill patternType="solid">
        <fgColor rgb="FFF4C5C2"/>
        <bgColor rgb="FFF4C5C2"/>
      </patternFill>
    </fill>
    <fill>
      <patternFill patternType="solid">
        <fgColor rgb="FFC4E7D6"/>
        <bgColor rgb="FFC4E7D6"/>
      </patternFill>
    </fill>
    <fill>
      <patternFill patternType="solid">
        <fgColor rgb="FFEFF9F4"/>
        <bgColor rgb="FFEFF9F4"/>
      </patternFill>
    </fill>
    <fill>
      <patternFill patternType="solid">
        <fgColor rgb="FFC3E7D6"/>
        <bgColor rgb="FFC3E7D6"/>
      </patternFill>
    </fill>
    <fill>
      <patternFill patternType="solid">
        <fgColor rgb="FFF7DAD7"/>
        <bgColor rgb="FFF7DAD7"/>
      </patternFill>
    </fill>
    <fill>
      <patternFill patternType="solid">
        <fgColor rgb="FFCDEBDD"/>
        <bgColor rgb="FFCDEBDD"/>
      </patternFill>
    </fill>
    <fill>
      <patternFill patternType="solid">
        <fgColor rgb="FFF7D6D4"/>
        <bgColor rgb="FFF7D6D4"/>
      </patternFill>
    </fill>
    <fill>
      <patternFill patternType="solid">
        <fgColor rgb="FFD2EDE0"/>
        <bgColor rgb="FFD2EDE0"/>
      </patternFill>
    </fill>
    <fill>
      <patternFill patternType="solid">
        <fgColor rgb="FFFBEEEC"/>
        <bgColor rgb="FFFBEEEC"/>
      </patternFill>
    </fill>
    <fill>
      <patternFill patternType="solid">
        <fgColor rgb="FFFDF6F5"/>
        <bgColor rgb="FFFDF6F5"/>
      </patternFill>
    </fill>
    <fill>
      <patternFill patternType="solid">
        <fgColor rgb="FFD6EFE3"/>
        <bgColor rgb="FFD6EFE3"/>
      </patternFill>
    </fill>
    <fill>
      <patternFill patternType="solid">
        <fgColor rgb="FFF4C8C4"/>
        <bgColor rgb="FFF4C8C4"/>
      </patternFill>
    </fill>
    <fill>
      <patternFill patternType="solid">
        <fgColor rgb="FFD9F0E5"/>
        <bgColor rgb="FFD9F0E5"/>
      </patternFill>
    </fill>
    <fill>
      <patternFill patternType="solid">
        <fgColor rgb="FFFDF9F9"/>
        <bgColor rgb="FFFDF9F9"/>
      </patternFill>
    </fill>
    <fill>
      <patternFill patternType="solid">
        <fgColor rgb="FFDDF2E8"/>
        <bgColor rgb="FFDDF2E8"/>
      </patternFill>
    </fill>
    <fill>
      <patternFill patternType="solid">
        <fgColor rgb="FFF2BCB7"/>
        <bgColor rgb="FFF2BCB7"/>
      </patternFill>
    </fill>
    <fill>
      <patternFill patternType="solid">
        <fgColor rgb="FFE0F3EA"/>
        <bgColor rgb="FFE0F3EA"/>
      </patternFill>
    </fill>
    <fill>
      <patternFill patternType="solid">
        <fgColor rgb="FFE3F4EC"/>
        <bgColor rgb="FFE3F4EC"/>
      </patternFill>
    </fill>
    <fill>
      <patternFill patternType="solid">
        <fgColor rgb="FFF5CECB"/>
        <bgColor rgb="FFF5CECB"/>
      </patternFill>
    </fill>
    <fill>
      <patternFill patternType="solid">
        <fgColor rgb="FFE8F6EF"/>
        <bgColor rgb="FFE8F6EF"/>
      </patternFill>
    </fill>
    <fill>
      <patternFill patternType="solid">
        <fgColor rgb="FFEAF7F1"/>
        <bgColor rgb="FFEAF7F1"/>
      </patternFill>
    </fill>
    <fill>
      <patternFill patternType="solid">
        <fgColor rgb="FFF2BDB9"/>
        <bgColor rgb="FFF2BDB9"/>
      </patternFill>
    </fill>
    <fill>
      <patternFill patternType="solid">
        <fgColor rgb="FFE7837A"/>
        <bgColor rgb="FFE7837A"/>
      </patternFill>
    </fill>
    <fill>
      <patternFill patternType="solid">
        <fgColor rgb="FFF0B4AF"/>
        <bgColor rgb="FFF0B4AF"/>
      </patternFill>
    </fill>
    <fill>
      <patternFill patternType="solid">
        <fgColor rgb="FFF1FAF5"/>
        <bgColor rgb="FFF1FAF5"/>
      </patternFill>
    </fill>
    <fill>
      <patternFill patternType="solid">
        <fgColor rgb="FFE88B83"/>
        <bgColor rgb="FFE88B83"/>
      </patternFill>
    </fill>
    <fill>
      <patternFill patternType="solid">
        <fgColor rgb="FFF5CDCA"/>
        <bgColor rgb="FFF5CDCA"/>
      </patternFill>
    </fill>
    <fill>
      <patternFill patternType="solid">
        <fgColor rgb="FFF4FBF8"/>
        <bgColor rgb="FFF4FBF8"/>
      </patternFill>
    </fill>
    <fill>
      <patternFill patternType="solid">
        <fgColor rgb="FFEDA39D"/>
        <bgColor rgb="FFEDA39D"/>
      </patternFill>
    </fill>
    <fill>
      <patternFill patternType="solid">
        <fgColor rgb="FFF9FDFB"/>
        <bgColor rgb="FFF9FDFB"/>
      </patternFill>
    </fill>
    <fill>
      <patternFill patternType="solid">
        <fgColor rgb="FFF3FAF7"/>
        <bgColor rgb="FFF3FAF7"/>
      </patternFill>
    </fill>
    <fill>
      <patternFill patternType="solid">
        <fgColor rgb="FFEEF9F4"/>
        <bgColor rgb="FFEEF9F4"/>
      </patternFill>
    </fill>
    <fill>
      <patternFill patternType="solid">
        <fgColor rgb="FFEFAEA8"/>
        <bgColor rgb="FFEFAEA8"/>
      </patternFill>
    </fill>
    <fill>
      <patternFill patternType="solid">
        <fgColor rgb="FFFEFBFB"/>
        <bgColor rgb="FFFEFBFB"/>
      </patternFill>
    </fill>
    <fill>
      <patternFill patternType="solid">
        <fgColor rgb="FFF8DCDA"/>
        <bgColor rgb="FFF8DCDA"/>
      </patternFill>
    </fill>
    <fill>
      <patternFill patternType="solid">
        <fgColor rgb="FFF0F9F5"/>
        <bgColor rgb="FFF0F9F5"/>
      </patternFill>
    </fill>
    <fill>
      <patternFill patternType="solid">
        <fgColor rgb="FFFCF1F0"/>
        <bgColor rgb="FFFCF1F0"/>
      </patternFill>
    </fill>
    <fill>
      <patternFill patternType="solid">
        <fgColor rgb="FFFCEFEE"/>
        <bgColor rgb="FFFCEFEE"/>
      </patternFill>
    </fill>
    <fill>
      <patternFill patternType="solid">
        <fgColor rgb="FFF9E0DD"/>
        <bgColor rgb="FFF9E0DD"/>
      </patternFill>
    </fill>
    <fill>
      <patternFill patternType="solid">
        <fgColor rgb="FFFEFFFE"/>
        <bgColor rgb="FFFEFFFE"/>
      </patternFill>
    </fill>
    <fill>
      <patternFill patternType="solid">
        <fgColor rgb="FFFEFCFC"/>
        <bgColor rgb="FFFEFCFC"/>
      </patternFill>
    </fill>
    <fill>
      <patternFill patternType="solid">
        <fgColor rgb="FFF7D9D6"/>
        <bgColor rgb="FFF7D9D6"/>
      </patternFill>
    </fill>
    <fill>
      <patternFill patternType="solid">
        <fgColor rgb="FFD3EEE1"/>
        <bgColor rgb="FFD3EEE1"/>
      </patternFill>
    </fill>
    <fill>
      <patternFill patternType="solid">
        <fgColor rgb="FFFDF4F4"/>
        <bgColor rgb="FFFDF4F4"/>
      </patternFill>
    </fill>
    <fill>
      <patternFill patternType="solid">
        <fgColor rgb="FFB1E0C9"/>
        <bgColor rgb="FFB1E0C9"/>
      </patternFill>
    </fill>
    <fill>
      <patternFill patternType="solid">
        <fgColor rgb="FFECF8F2"/>
        <bgColor rgb="FFECF8F2"/>
      </patternFill>
    </fill>
    <fill>
      <patternFill patternType="solid">
        <fgColor rgb="FFFEFAFA"/>
        <bgColor rgb="FFFEFAFA"/>
      </patternFill>
    </fill>
    <fill>
      <patternFill patternType="solid">
        <fgColor rgb="FFFEFDFD"/>
        <bgColor rgb="FFFEFDFD"/>
      </patternFill>
    </fill>
    <fill>
      <patternFill patternType="solid">
        <fgColor rgb="FFF8FDFA"/>
        <bgColor rgb="FFF8FDFA"/>
      </patternFill>
    </fill>
    <fill>
      <patternFill patternType="solid">
        <fgColor rgb="FFF7D5D2"/>
        <bgColor rgb="FFF7D5D2"/>
      </patternFill>
    </fill>
    <fill>
      <patternFill patternType="solid">
        <fgColor rgb="FFC9EADA"/>
        <bgColor rgb="FFC9EADA"/>
      </patternFill>
    </fill>
    <fill>
      <patternFill patternType="solid">
        <fgColor rgb="FFE6F5EE"/>
        <bgColor rgb="FFE6F5EE"/>
      </patternFill>
    </fill>
    <fill>
      <patternFill patternType="solid">
        <fgColor rgb="FFE1F3EB"/>
        <bgColor rgb="FFE1F3EB"/>
      </patternFill>
    </fill>
    <fill>
      <patternFill patternType="solid">
        <fgColor rgb="FFCAEADB"/>
        <bgColor rgb="FFCAEADB"/>
      </patternFill>
    </fill>
    <fill>
      <patternFill patternType="solid">
        <fgColor rgb="FFE4F4ED"/>
        <bgColor rgb="FFE4F4ED"/>
      </patternFill>
    </fill>
    <fill>
      <patternFill patternType="solid">
        <fgColor rgb="FFADDEC6"/>
        <bgColor rgb="FFADDEC6"/>
      </patternFill>
    </fill>
    <fill>
      <patternFill patternType="solid">
        <fgColor rgb="FFCDEBDC"/>
        <bgColor rgb="FFCDEBDC"/>
      </patternFill>
    </fill>
    <fill>
      <patternFill patternType="solid">
        <fgColor rgb="FFF1F9F5"/>
        <bgColor rgb="FFF1F9F5"/>
      </patternFill>
    </fill>
    <fill>
      <patternFill patternType="solid">
        <fgColor rgb="FFD6EFE2"/>
        <bgColor rgb="FFD6EFE2"/>
      </patternFill>
    </fill>
    <fill>
      <patternFill patternType="solid">
        <fgColor rgb="FFC4E8D6"/>
        <bgColor rgb="FFC4E8D6"/>
      </patternFill>
    </fill>
    <fill>
      <patternFill patternType="solid">
        <fgColor rgb="FFFDF8F8"/>
        <bgColor rgb="FFFDF8F8"/>
      </patternFill>
    </fill>
    <fill>
      <patternFill patternType="solid">
        <fgColor rgb="FFC6E8D8"/>
        <bgColor rgb="FFC6E8D8"/>
      </patternFill>
    </fill>
    <fill>
      <patternFill patternType="solid">
        <fgColor rgb="FFBEE5D2"/>
        <bgColor rgb="FFBEE5D2"/>
      </patternFill>
    </fill>
    <fill>
      <patternFill patternType="solid">
        <fgColor rgb="FFB4E1CB"/>
        <bgColor rgb="FFB4E1CB"/>
      </patternFill>
    </fill>
    <fill>
      <patternFill patternType="solid">
        <fgColor rgb="FFF6D3D0"/>
        <bgColor rgb="FFF6D3D0"/>
      </patternFill>
    </fill>
    <fill>
      <patternFill patternType="solid">
        <fgColor rgb="FFB6E2CC"/>
        <bgColor rgb="FFB6E2CC"/>
      </patternFill>
    </fill>
    <fill>
      <patternFill patternType="solid">
        <fgColor rgb="FFF1BAB5"/>
        <bgColor rgb="FFF1BAB5"/>
      </patternFill>
    </fill>
    <fill>
      <patternFill patternType="solid">
        <fgColor rgb="FFE6F5ED"/>
        <bgColor rgb="FFE6F5ED"/>
      </patternFill>
    </fill>
  </fills>
  <borders count="1">
    <border/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3" fontId="2" numFmtId="10" xfId="0" applyAlignment="1" applyFill="1" applyFont="1" applyNumberFormat="1">
      <alignment horizontal="center" vertical="bottom"/>
    </xf>
    <xf borderId="0" fillId="4" fontId="2" numFmtId="10" xfId="0" applyAlignment="1" applyFill="1" applyFont="1" applyNumberForma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2" numFmtId="10" xfId="0" applyAlignment="1" applyFill="1" applyFont="1" applyNumberForma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8" fontId="2" numFmtId="10" xfId="0" applyAlignment="1" applyFill="1" applyFont="1" applyNumberFormat="1">
      <alignment horizontal="center" vertical="bottom"/>
    </xf>
    <xf borderId="0" fillId="9" fontId="2" numFmtId="10" xfId="0" applyAlignment="1" applyFill="1" applyFont="1" applyNumberFormat="1">
      <alignment horizontal="center" vertical="bottom"/>
    </xf>
    <xf borderId="0" fillId="10" fontId="2" numFmtId="0" xfId="0" applyAlignment="1" applyFill="1" applyFont="1">
      <alignment horizontal="center" vertical="bottom"/>
    </xf>
    <xf borderId="0" fillId="11" fontId="2" numFmtId="10" xfId="0" applyAlignment="1" applyFill="1" applyFont="1" applyNumberFormat="1">
      <alignment horizontal="center" vertical="bottom"/>
    </xf>
    <xf borderId="0" fillId="12" fontId="2" numFmtId="0" xfId="0" applyAlignment="1" applyFill="1" applyFont="1">
      <alignment horizontal="center" vertical="bottom"/>
    </xf>
    <xf borderId="0" fillId="13" fontId="2" numFmtId="10" xfId="0" applyAlignment="1" applyFill="1" applyFont="1" applyNumberFormat="1">
      <alignment horizontal="center" vertical="bottom"/>
    </xf>
    <xf borderId="0" fillId="14" fontId="2" numFmtId="0" xfId="0" applyAlignment="1" applyFill="1" applyFont="1">
      <alignment horizontal="center" vertical="bottom"/>
    </xf>
    <xf borderId="0" fillId="15" fontId="2" numFmtId="10" xfId="0" applyAlignment="1" applyFill="1" applyFont="1" applyNumberFormat="1">
      <alignment horizontal="center" vertical="bottom"/>
    </xf>
    <xf borderId="0" fillId="13" fontId="2" numFmtId="0" xfId="0" applyAlignment="1" applyFont="1">
      <alignment horizontal="center" vertical="bottom"/>
    </xf>
    <xf borderId="0" fillId="16" fontId="2" numFmtId="10" xfId="0" applyAlignment="1" applyFill="1" applyFont="1" applyNumberFormat="1">
      <alignment horizontal="center" vertical="bottom"/>
    </xf>
    <xf borderId="0" fillId="17" fontId="2" numFmtId="0" xfId="0" applyAlignment="1" applyFill="1" applyFont="1">
      <alignment horizontal="center" vertical="bottom"/>
    </xf>
    <xf borderId="0" fillId="18" fontId="2" numFmtId="10" xfId="0" applyAlignment="1" applyFill="1" applyFont="1" applyNumberFormat="1">
      <alignment horizontal="center" vertical="bottom"/>
    </xf>
    <xf borderId="0" fillId="19" fontId="2" numFmtId="0" xfId="0" applyAlignment="1" applyFill="1" applyFont="1">
      <alignment horizontal="center" vertical="bottom"/>
    </xf>
    <xf borderId="0" fillId="20" fontId="2" numFmtId="10" xfId="0" applyAlignment="1" applyFill="1" applyFont="1" applyNumberFormat="1">
      <alignment horizontal="center" vertical="bottom"/>
    </xf>
    <xf borderId="0" fillId="21" fontId="2" numFmtId="0" xfId="0" applyAlignment="1" applyFill="1" applyFont="1">
      <alignment horizontal="center" vertical="bottom"/>
    </xf>
    <xf borderId="0" fillId="22" fontId="2" numFmtId="10" xfId="0" applyAlignment="1" applyFill="1" applyFont="1" applyNumberFormat="1">
      <alignment horizontal="center" vertical="bottom"/>
    </xf>
    <xf borderId="0" fillId="23" fontId="2" numFmtId="0" xfId="0" applyAlignment="1" applyFill="1" applyFont="1">
      <alignment horizontal="center" vertical="bottom"/>
    </xf>
    <xf borderId="0" fillId="24" fontId="2" numFmtId="10" xfId="0" applyAlignment="1" applyFill="1" applyFont="1" applyNumberFormat="1">
      <alignment horizontal="center" vertical="bottom"/>
    </xf>
    <xf borderId="0" fillId="25" fontId="2" numFmtId="0" xfId="0" applyAlignment="1" applyFill="1" applyFont="1">
      <alignment horizontal="center" vertical="bottom"/>
    </xf>
    <xf borderId="0" fillId="26" fontId="2" numFmtId="10" xfId="0" applyAlignment="1" applyFill="1" applyFont="1" applyNumberFormat="1">
      <alignment horizontal="center" vertical="bottom"/>
    </xf>
    <xf borderId="0" fillId="27" fontId="2" numFmtId="0" xfId="0" applyAlignment="1" applyFill="1" applyFont="1">
      <alignment horizontal="center" vertical="bottom"/>
    </xf>
    <xf borderId="0" fillId="28" fontId="2" numFmtId="10" xfId="0" applyAlignment="1" applyFill="1" applyFont="1" applyNumberFormat="1">
      <alignment horizontal="center" vertical="bottom"/>
    </xf>
    <xf borderId="0" fillId="29" fontId="2" numFmtId="0" xfId="0" applyAlignment="1" applyFill="1" applyFont="1">
      <alignment horizontal="center" vertical="bottom"/>
    </xf>
    <xf borderId="0" fillId="30" fontId="2" numFmtId="10" xfId="0" applyAlignment="1" applyFill="1" applyFont="1" applyNumberFormat="1">
      <alignment horizontal="center" vertical="bottom"/>
    </xf>
    <xf borderId="0" fillId="31" fontId="2" numFmtId="0" xfId="0" applyAlignment="1" applyFill="1" applyFont="1">
      <alignment horizontal="center" vertical="bottom"/>
    </xf>
    <xf borderId="0" fillId="32" fontId="2" numFmtId="10" xfId="0" applyAlignment="1" applyFill="1" applyFont="1" applyNumberFormat="1">
      <alignment horizontal="center" vertical="bottom"/>
    </xf>
    <xf borderId="0" fillId="33" fontId="2" numFmtId="0" xfId="0" applyAlignment="1" applyFill="1" applyFont="1">
      <alignment horizontal="center" vertical="bottom"/>
    </xf>
    <xf borderId="0" fillId="34" fontId="2" numFmtId="10" xfId="0" applyAlignment="1" applyFill="1" applyFont="1" applyNumberFormat="1">
      <alignment horizontal="center" vertical="bottom"/>
    </xf>
    <xf borderId="0" fillId="35" fontId="2" numFmtId="0" xfId="0" applyAlignment="1" applyFill="1" applyFont="1">
      <alignment horizontal="center" vertical="bottom"/>
    </xf>
    <xf borderId="0" fillId="36" fontId="2" numFmtId="10" xfId="0" applyAlignment="1" applyFill="1" applyFont="1" applyNumberFormat="1">
      <alignment horizontal="center" vertical="bottom"/>
    </xf>
    <xf borderId="0" fillId="37" fontId="2" numFmtId="0" xfId="0" applyAlignment="1" applyFill="1" applyFont="1">
      <alignment horizontal="center" vertical="bottom"/>
    </xf>
    <xf borderId="0" fillId="38" fontId="2" numFmtId="10" xfId="0" applyAlignment="1" applyFill="1" applyFont="1" applyNumberFormat="1">
      <alignment horizontal="center" vertical="bottom"/>
    </xf>
    <xf borderId="0" fillId="39" fontId="2" numFmtId="0" xfId="0" applyAlignment="1" applyFill="1" applyFont="1">
      <alignment horizontal="center" vertical="bottom"/>
    </xf>
    <xf borderId="0" fillId="40" fontId="2" numFmtId="10" xfId="0" applyAlignment="1" applyFill="1" applyFont="1" applyNumberFormat="1">
      <alignment horizontal="center" vertical="bottom"/>
    </xf>
    <xf borderId="0" fillId="27" fontId="2" numFmtId="10" xfId="0" applyAlignment="1" applyFont="1" applyNumberFormat="1">
      <alignment horizontal="center" vertical="bottom"/>
    </xf>
    <xf borderId="0" fillId="41" fontId="2" numFmtId="0" xfId="0" applyAlignment="1" applyFill="1" applyFont="1">
      <alignment horizontal="center" vertical="bottom"/>
    </xf>
    <xf borderId="0" fillId="42" fontId="2" numFmtId="10" xfId="0" applyAlignment="1" applyFill="1" applyFont="1" applyNumberFormat="1">
      <alignment horizontal="center" vertical="bottom"/>
    </xf>
    <xf borderId="0" fillId="11" fontId="2" numFmtId="0" xfId="0" applyAlignment="1" applyFont="1">
      <alignment horizontal="center" vertical="bottom"/>
    </xf>
    <xf borderId="0" fillId="43" fontId="2" numFmtId="0" xfId="0" applyAlignment="1" applyFill="1" applyFont="1">
      <alignment horizontal="center" vertical="bottom"/>
    </xf>
    <xf borderId="0" fillId="21" fontId="2" numFmtId="10" xfId="0" applyAlignment="1" applyFont="1" applyNumberFormat="1">
      <alignment horizontal="center" vertical="bottom"/>
    </xf>
    <xf borderId="0" fillId="44" fontId="2" numFmtId="0" xfId="0" applyAlignment="1" applyFill="1" applyFont="1">
      <alignment horizontal="center" vertical="bottom"/>
    </xf>
    <xf borderId="0" fillId="45" fontId="2" numFmtId="10" xfId="0" applyAlignment="1" applyFill="1" applyFont="1" applyNumberFormat="1">
      <alignment horizontal="center" vertical="bottom"/>
    </xf>
    <xf borderId="0" fillId="46" fontId="2" numFmtId="0" xfId="0" applyAlignment="1" applyFill="1" applyFont="1">
      <alignment horizontal="center" vertical="bottom"/>
    </xf>
    <xf borderId="0" fillId="47" fontId="2" numFmtId="0" xfId="0" applyAlignment="1" applyFill="1" applyFont="1">
      <alignment horizontal="center" vertical="bottom"/>
    </xf>
    <xf borderId="0" fillId="48" fontId="2" numFmtId="10" xfId="0" applyAlignment="1" applyFill="1" applyFont="1" applyNumberFormat="1">
      <alignment horizontal="center" vertical="bottom"/>
    </xf>
    <xf borderId="0" fillId="49" fontId="2" numFmtId="0" xfId="0" applyAlignment="1" applyFill="1" applyFont="1">
      <alignment horizontal="center" vertical="bottom"/>
    </xf>
    <xf borderId="0" fillId="50" fontId="2" numFmtId="10" xfId="0" applyAlignment="1" applyFill="1" applyFont="1" applyNumberFormat="1">
      <alignment horizontal="center" vertical="bottom"/>
    </xf>
    <xf borderId="0" fillId="51" fontId="2" numFmtId="0" xfId="0" applyAlignment="1" applyFill="1" applyFont="1">
      <alignment horizontal="center" vertical="bottom"/>
    </xf>
    <xf borderId="0" fillId="52" fontId="2" numFmtId="10" xfId="0" applyAlignment="1" applyFill="1" applyFont="1" applyNumberFormat="1">
      <alignment horizontal="center" vertical="bottom"/>
    </xf>
    <xf borderId="0" fillId="53" fontId="2" numFmtId="0" xfId="0" applyAlignment="1" applyFill="1" applyFont="1">
      <alignment horizontal="center" vertical="bottom"/>
    </xf>
    <xf borderId="0" fillId="54" fontId="2" numFmtId="10" xfId="0" applyAlignment="1" applyFill="1" applyFont="1" applyNumberFormat="1">
      <alignment horizontal="center" vertical="bottom"/>
    </xf>
    <xf borderId="0" fillId="55" fontId="2" numFmtId="0" xfId="0" applyAlignment="1" applyFill="1" applyFont="1">
      <alignment horizontal="center" vertical="bottom"/>
    </xf>
    <xf borderId="0" fillId="56" fontId="2" numFmtId="0" xfId="0" applyAlignment="1" applyFill="1" applyFont="1">
      <alignment horizontal="center" vertical="bottom"/>
    </xf>
    <xf borderId="0" fillId="57" fontId="2" numFmtId="10" xfId="0" applyAlignment="1" applyFill="1" applyFont="1" applyNumberFormat="1">
      <alignment horizontal="center" vertical="bottom"/>
    </xf>
    <xf borderId="0" fillId="58" fontId="2" numFmtId="0" xfId="0" applyAlignment="1" applyFill="1" applyFont="1">
      <alignment horizontal="center" vertical="bottom"/>
    </xf>
    <xf borderId="0" fillId="59" fontId="2" numFmtId="10" xfId="0" applyAlignment="1" applyFill="1" applyFont="1" applyNumberFormat="1">
      <alignment horizontal="center" vertical="bottom"/>
    </xf>
    <xf borderId="0" fillId="60" fontId="2" numFmtId="0" xfId="0" applyAlignment="1" applyFill="1" applyFont="1">
      <alignment horizontal="center" vertical="bottom"/>
    </xf>
    <xf borderId="0" fillId="33" fontId="2" numFmtId="10" xfId="0" applyAlignment="1" applyFont="1" applyNumberFormat="1">
      <alignment horizontal="center" vertical="bottom"/>
    </xf>
    <xf borderId="0" fillId="61" fontId="2" numFmtId="0" xfId="0" applyAlignment="1" applyFill="1" applyFont="1">
      <alignment horizontal="center" vertical="bottom"/>
    </xf>
    <xf borderId="0" fillId="62" fontId="2" numFmtId="10" xfId="0" applyAlignment="1" applyFill="1" applyFont="1" applyNumberFormat="1">
      <alignment horizontal="center" vertical="bottom"/>
    </xf>
    <xf borderId="0" fillId="63" fontId="2" numFmtId="0" xfId="0" applyAlignment="1" applyFill="1" applyFont="1">
      <alignment horizontal="center" vertical="bottom"/>
    </xf>
    <xf borderId="0" fillId="64" fontId="2" numFmtId="0" xfId="0" applyAlignment="1" applyFill="1" applyFont="1">
      <alignment horizontal="center" vertical="bottom"/>
    </xf>
    <xf borderId="0" fillId="65" fontId="2" numFmtId="10" xfId="0" applyAlignment="1" applyFill="1" applyFont="1" applyNumberFormat="1">
      <alignment horizontal="center" vertical="bottom"/>
    </xf>
    <xf borderId="0" fillId="66" fontId="2" numFmtId="0" xfId="0" applyAlignment="1" applyFill="1" applyFont="1">
      <alignment horizontal="center" vertical="bottom"/>
    </xf>
    <xf borderId="0" fillId="2" fontId="2" numFmtId="10" xfId="0" applyAlignment="1" applyFont="1" applyNumberFormat="1">
      <alignment horizontal="center" vertical="bottom"/>
    </xf>
    <xf borderId="0" fillId="67" fontId="2" numFmtId="10" xfId="0" applyAlignment="1" applyFill="1" applyFont="1" applyNumberFormat="1">
      <alignment horizontal="center" vertical="bottom"/>
    </xf>
    <xf borderId="0" fillId="68" fontId="2" numFmtId="0" xfId="0" applyAlignment="1" applyFill="1" applyFont="1">
      <alignment horizontal="center" vertical="bottom"/>
    </xf>
    <xf borderId="0" fillId="69" fontId="2" numFmtId="10" xfId="0" applyAlignment="1" applyFill="1" applyFont="1" applyNumberFormat="1">
      <alignment horizontal="center" vertical="bottom"/>
    </xf>
    <xf borderId="0" fillId="70" fontId="2" numFmtId="0" xfId="0" applyAlignment="1" applyFill="1" applyFont="1">
      <alignment horizontal="center" vertical="bottom"/>
    </xf>
    <xf borderId="0" fillId="17" fontId="2" numFmtId="10" xfId="0" applyAlignment="1" applyFont="1" applyNumberFormat="1">
      <alignment horizontal="center" vertical="bottom"/>
    </xf>
    <xf borderId="0" fillId="8" fontId="2" numFmtId="0" xfId="0" applyAlignment="1" applyFont="1">
      <alignment horizontal="center" vertical="bottom"/>
    </xf>
    <xf borderId="0" fillId="14" fontId="2" numFmtId="10" xfId="0" applyAlignment="1" applyFont="1" applyNumberFormat="1">
      <alignment horizontal="center" vertical="bottom"/>
    </xf>
    <xf borderId="0" fillId="71" fontId="2" numFmtId="0" xfId="0" applyAlignment="1" applyFill="1" applyFont="1">
      <alignment horizontal="center" vertical="bottom"/>
    </xf>
    <xf borderId="0" fillId="72" fontId="2" numFmtId="10" xfId="0" applyAlignment="1" applyFill="1" applyFont="1" applyNumberFormat="1">
      <alignment horizontal="center" vertical="bottom"/>
    </xf>
    <xf borderId="0" fillId="73" fontId="2" numFmtId="0" xfId="0" applyAlignment="1" applyFill="1" applyFont="1">
      <alignment horizontal="center" vertical="bottom"/>
    </xf>
    <xf borderId="0" fillId="74" fontId="2" numFmtId="10" xfId="0" applyAlignment="1" applyFill="1" applyFont="1" applyNumberFormat="1">
      <alignment horizontal="center" vertical="bottom"/>
    </xf>
    <xf borderId="0" fillId="75" fontId="2" numFmtId="10" xfId="0" applyAlignment="1" applyFill="1" applyFont="1" applyNumberFormat="1">
      <alignment horizontal="center" vertical="bottom"/>
    </xf>
    <xf borderId="0" fillId="76" fontId="2" numFmtId="0" xfId="0" applyAlignment="1" applyFill="1" applyFont="1">
      <alignment horizontal="center" vertical="bottom"/>
    </xf>
    <xf borderId="0" fillId="77" fontId="2" numFmtId="10" xfId="0" applyAlignment="1" applyFill="1" applyFont="1" applyNumberFormat="1">
      <alignment horizontal="center" vertical="bottom"/>
    </xf>
    <xf borderId="0" fillId="78" fontId="2" numFmtId="0" xfId="0" applyAlignment="1" applyFill="1" applyFont="1">
      <alignment horizontal="center" vertical="bottom"/>
    </xf>
    <xf borderId="0" fillId="79" fontId="2" numFmtId="10" xfId="0" applyAlignment="1" applyFill="1" applyFont="1" applyNumberFormat="1">
      <alignment horizontal="center" vertical="bottom"/>
    </xf>
    <xf borderId="0" fillId="80" fontId="2" numFmtId="0" xfId="0" applyAlignment="1" applyFill="1" applyFont="1">
      <alignment horizontal="center" vertical="bottom"/>
    </xf>
    <xf borderId="0" fillId="81" fontId="2" numFmtId="10" xfId="0" applyAlignment="1" applyFill="1" applyFont="1" applyNumberFormat="1">
      <alignment horizontal="center" vertical="bottom"/>
    </xf>
    <xf borderId="0" fillId="82" fontId="2" numFmtId="0" xfId="0" applyAlignment="1" applyFill="1" applyFont="1">
      <alignment horizontal="center" vertical="bottom"/>
    </xf>
    <xf borderId="0" fillId="83" fontId="2" numFmtId="10" xfId="0" applyAlignment="1" applyFill="1" applyFont="1" applyNumberFormat="1">
      <alignment horizontal="center" vertical="bottom"/>
    </xf>
    <xf borderId="0" fillId="54" fontId="2" numFmtId="0" xfId="0" applyAlignment="1" applyFont="1">
      <alignment horizontal="center" vertical="bottom"/>
    </xf>
    <xf borderId="0" fillId="84" fontId="2" numFmtId="0" xfId="0" applyAlignment="1" applyFill="1" applyFont="1">
      <alignment horizontal="center" vertical="bottom"/>
    </xf>
    <xf borderId="0" fillId="85" fontId="2" numFmtId="10" xfId="0" applyAlignment="1" applyFill="1" applyFont="1" applyNumberFormat="1">
      <alignment horizontal="center" vertical="bottom"/>
    </xf>
    <xf borderId="0" fillId="86" fontId="2" numFmtId="10" xfId="0" applyAlignment="1" applyFill="1" applyFont="1" applyNumberFormat="1">
      <alignment horizontal="center" vertical="bottom"/>
    </xf>
    <xf borderId="0" fillId="87" fontId="2" numFmtId="0" xfId="0" applyAlignment="1" applyFill="1" applyFont="1">
      <alignment horizontal="center" vertical="bottom"/>
    </xf>
    <xf borderId="0" fillId="88" fontId="2" numFmtId="10" xfId="0" applyAlignment="1" applyFill="1" applyFont="1" applyNumberFormat="1">
      <alignment horizontal="center" vertical="bottom"/>
    </xf>
    <xf borderId="0" fillId="89" fontId="2" numFmtId="0" xfId="0" applyAlignment="1" applyFill="1" applyFont="1">
      <alignment horizontal="center" vertical="bottom"/>
    </xf>
    <xf borderId="0" fillId="90" fontId="2" numFmtId="10" xfId="0" applyAlignment="1" applyFill="1" applyFont="1" applyNumberFormat="1">
      <alignment horizontal="center" vertical="bottom"/>
    </xf>
    <xf borderId="0" fillId="91" fontId="2" numFmtId="0" xfId="0" applyAlignment="1" applyFill="1" applyFont="1">
      <alignment horizontal="center" vertical="bottom"/>
    </xf>
    <xf borderId="0" fillId="92" fontId="2" numFmtId="10" xfId="0" applyAlignment="1" applyFill="1" applyFont="1" applyNumberFormat="1">
      <alignment horizontal="center" vertical="bottom"/>
    </xf>
    <xf borderId="0" fillId="93" fontId="2" numFmtId="0" xfId="0" applyAlignment="1" applyFill="1" applyFont="1">
      <alignment horizontal="center" vertical="bottom"/>
    </xf>
    <xf borderId="0" fillId="94" fontId="2" numFmtId="10" xfId="0" applyAlignment="1" applyFill="1" applyFont="1" applyNumberFormat="1">
      <alignment horizontal="center" vertical="bottom"/>
    </xf>
    <xf borderId="0" fillId="95" fontId="2" numFmtId="0" xfId="0" applyAlignment="1" applyFill="1" applyFont="1">
      <alignment horizontal="center" vertical="bottom"/>
    </xf>
    <xf borderId="0" fillId="96" fontId="2" numFmtId="10" xfId="0" applyAlignment="1" applyFill="1" applyFont="1" applyNumberFormat="1">
      <alignment horizontal="center" vertical="bottom"/>
    </xf>
    <xf borderId="0" fillId="97" fontId="2" numFmtId="0" xfId="0" applyAlignment="1" applyFill="1" applyFont="1">
      <alignment horizontal="center" vertical="bottom"/>
    </xf>
    <xf borderId="0" fillId="98" fontId="2" numFmtId="0" xfId="0" applyAlignment="1" applyFill="1" applyFont="1">
      <alignment horizontal="center" vertical="bottom"/>
    </xf>
    <xf borderId="0" fillId="99" fontId="2" numFmtId="10" xfId="0" applyAlignment="1" applyFill="1" applyFont="1" applyNumberFormat="1">
      <alignment horizontal="center" vertical="bottom"/>
    </xf>
    <xf borderId="0" fillId="100" fontId="2" numFmtId="0" xfId="0" applyAlignment="1" applyFill="1" applyFont="1">
      <alignment horizontal="center" vertical="bottom"/>
    </xf>
    <xf borderId="0" fillId="101" fontId="2" numFmtId="10" xfId="0" applyAlignment="1" applyFill="1" applyFont="1" applyNumberFormat="1">
      <alignment horizontal="center" vertical="bottom"/>
    </xf>
    <xf borderId="0" fillId="102" fontId="2" numFmtId="0" xfId="0" applyAlignment="1" applyFill="1" applyFont="1">
      <alignment horizontal="center" vertical="bottom"/>
    </xf>
    <xf borderId="0" fillId="103" fontId="2" numFmtId="10" xfId="0" applyAlignment="1" applyFill="1" applyFont="1" applyNumberFormat="1">
      <alignment horizontal="center" vertical="bottom"/>
    </xf>
    <xf borderId="0" fillId="104" fontId="2" numFmtId="0" xfId="0" applyAlignment="1" applyFill="1" applyFont="1">
      <alignment horizontal="center" vertical="bottom"/>
    </xf>
    <xf borderId="0" fillId="105" fontId="2" numFmtId="10" xfId="0" applyAlignment="1" applyFill="1" applyFont="1" applyNumberFormat="1">
      <alignment horizontal="center" vertical="bottom"/>
    </xf>
    <xf borderId="0" fillId="106" fontId="2" numFmtId="0" xfId="0" applyAlignment="1" applyFill="1" applyFont="1">
      <alignment horizontal="center" vertical="bottom"/>
    </xf>
    <xf borderId="0" fillId="107" fontId="2" numFmtId="10" xfId="0" applyAlignment="1" applyFill="1" applyFont="1" applyNumberFormat="1">
      <alignment horizontal="center" vertical="bottom"/>
    </xf>
    <xf borderId="0" fillId="108" fontId="2" numFmtId="0" xfId="0" applyAlignment="1" applyFill="1" applyFont="1">
      <alignment horizontal="center" vertical="bottom"/>
    </xf>
    <xf borderId="0" fillId="109" fontId="2" numFmtId="10" xfId="0" applyAlignment="1" applyFill="1" applyFont="1" applyNumberFormat="1">
      <alignment horizontal="center" vertical="bottom"/>
    </xf>
    <xf borderId="0" fillId="110" fontId="2" numFmtId="0" xfId="0" applyAlignment="1" applyFill="1" applyFont="1">
      <alignment horizontal="center" vertical="bottom"/>
    </xf>
    <xf borderId="0" fillId="111" fontId="2" numFmtId="10" xfId="0" applyAlignment="1" applyFill="1" applyFont="1" applyNumberFormat="1">
      <alignment horizontal="center" vertical="bottom"/>
    </xf>
    <xf borderId="0" fillId="112" fontId="2" numFmtId="0" xfId="0" applyAlignment="1" applyFill="1" applyFont="1">
      <alignment horizontal="center" vertical="bottom"/>
    </xf>
    <xf borderId="0" fillId="24" fontId="2" numFmtId="0" xfId="0" applyAlignment="1" applyFont="1">
      <alignment horizontal="center" vertical="bottom"/>
    </xf>
    <xf borderId="0" fillId="113" fontId="2" numFmtId="10" xfId="0" applyAlignment="1" applyFill="1" applyFont="1" applyNumberFormat="1">
      <alignment horizontal="center" vertical="bottom"/>
    </xf>
    <xf borderId="0" fillId="114" fontId="2" numFmtId="0" xfId="0" applyAlignment="1" applyFill="1" applyFont="1">
      <alignment horizontal="center" vertical="bottom"/>
    </xf>
    <xf borderId="0" fillId="115" fontId="2" numFmtId="10" xfId="0" applyAlignment="1" applyFill="1" applyFont="1" applyNumberFormat="1">
      <alignment horizontal="center" vertical="bottom"/>
    </xf>
    <xf borderId="0" fillId="7" fontId="2" numFmtId="10" xfId="0" applyAlignment="1" applyFont="1" applyNumberFormat="1">
      <alignment horizontal="center" vertical="bottom"/>
    </xf>
    <xf borderId="0" fillId="116" fontId="2" numFmtId="10" xfId="0" applyAlignment="1" applyFill="1" applyFont="1" applyNumberFormat="1">
      <alignment horizontal="center" vertical="bottom"/>
    </xf>
    <xf borderId="0" fillId="117" fontId="2" numFmtId="0" xfId="0" applyAlignment="1" applyFill="1" applyFont="1">
      <alignment horizontal="center" vertical="bottom"/>
    </xf>
    <xf borderId="0" fillId="118" fontId="2" numFmtId="10" xfId="0" applyAlignment="1" applyFill="1" applyFont="1" applyNumberFormat="1">
      <alignment horizontal="center" vertical="bottom"/>
    </xf>
    <xf borderId="0" fillId="119" fontId="2" numFmtId="0" xfId="0" applyAlignment="1" applyFill="1" applyFont="1">
      <alignment horizontal="center" vertical="bottom"/>
    </xf>
    <xf borderId="0" fillId="120" fontId="2" numFmtId="10" xfId="0" applyAlignment="1" applyFill="1" applyFont="1" applyNumberFormat="1">
      <alignment horizontal="center" vertical="bottom"/>
    </xf>
    <xf borderId="0" fillId="121" fontId="2" numFmtId="0" xfId="0" applyAlignment="1" applyFill="1" applyFont="1">
      <alignment horizontal="center" vertical="bottom"/>
    </xf>
    <xf borderId="0" fillId="122" fontId="2" numFmtId="10" xfId="0" applyAlignment="1" applyFill="1" applyFont="1" applyNumberFormat="1">
      <alignment horizontal="center" vertical="bottom"/>
    </xf>
    <xf borderId="0" fillId="123" fontId="2" numFmtId="0" xfId="0" applyAlignment="1" applyFill="1" applyFont="1">
      <alignment horizontal="center" vertical="bottom"/>
    </xf>
    <xf borderId="0" fillId="124" fontId="2" numFmtId="0" xfId="0" applyAlignment="1" applyFill="1" applyFont="1">
      <alignment horizontal="center" vertical="bottom"/>
    </xf>
    <xf borderId="0" fillId="45" fontId="2" numFmtId="0" xfId="0" applyAlignment="1" applyFont="1">
      <alignment horizontal="center" vertical="bottom"/>
    </xf>
    <xf borderId="0" fillId="125" fontId="2" numFmtId="10" xfId="0" applyAlignment="1" applyFill="1" applyFont="1" applyNumberFormat="1">
      <alignment horizontal="center" vertical="bottom"/>
    </xf>
    <xf borderId="0" fillId="126" fontId="2" numFmtId="0" xfId="0" applyAlignment="1" applyFill="1" applyFont="1">
      <alignment horizontal="center" vertical="bottom"/>
    </xf>
    <xf borderId="0" fillId="127" fontId="2" numFmtId="0" xfId="0" applyAlignment="1" applyFill="1" applyFont="1">
      <alignment horizontal="center" vertical="bottom"/>
    </xf>
    <xf borderId="0" fillId="128" fontId="2" numFmtId="10" xfId="0" applyAlignment="1" applyFill="1" applyFont="1" applyNumberFormat="1">
      <alignment horizontal="center" vertical="bottom"/>
    </xf>
    <xf borderId="0" fillId="102" fontId="2" numFmtId="10" xfId="0" applyAlignment="1" applyFont="1" applyNumberFormat="1">
      <alignment horizontal="center" vertical="bottom"/>
    </xf>
    <xf borderId="0" fillId="129" fontId="2" numFmtId="10" xfId="0" applyAlignment="1" applyFill="1" applyFont="1" applyNumberFormat="1">
      <alignment horizontal="center" vertical="bottom"/>
    </xf>
    <xf borderId="0" fillId="130" fontId="2" numFmtId="10" xfId="0" applyAlignment="1" applyFill="1" applyFont="1" applyNumberFormat="1">
      <alignment horizontal="center" vertical="bottom"/>
    </xf>
    <xf borderId="0" fillId="131" fontId="2" numFmtId="0" xfId="0" applyAlignment="1" applyFill="1" applyFont="1">
      <alignment horizontal="center" vertical="bottom"/>
    </xf>
    <xf borderId="0" fillId="132" fontId="2" numFmtId="10" xfId="0" applyAlignment="1" applyFill="1" applyFont="1" applyNumberFormat="1">
      <alignment horizontal="center" vertical="bottom"/>
    </xf>
    <xf borderId="0" fillId="133" fontId="2" numFmtId="10" xfId="0" applyAlignment="1" applyFill="1" applyFont="1" applyNumberFormat="1">
      <alignment horizontal="center" vertical="bottom"/>
    </xf>
    <xf borderId="0" fillId="134" fontId="2" numFmtId="0" xfId="0" applyAlignment="1" applyFill="1" applyFont="1">
      <alignment horizontal="center" vertical="bottom"/>
    </xf>
    <xf borderId="0" fillId="135" fontId="2" numFmtId="10" xfId="0" applyAlignment="1" applyFill="1" applyFont="1" applyNumberFormat="1">
      <alignment horizontal="center" vertical="bottom"/>
    </xf>
    <xf borderId="0" fillId="18" fontId="2" numFmtId="0" xfId="0" applyAlignment="1" applyFont="1">
      <alignment horizontal="center" vertical="bottom"/>
    </xf>
    <xf borderId="0" fillId="31" fontId="2" numFmtId="10" xfId="0" applyAlignment="1" applyFont="1" applyNumberFormat="1">
      <alignment horizontal="center" vertical="bottom"/>
    </xf>
    <xf borderId="0" fillId="136" fontId="2" numFmtId="10" xfId="0" applyAlignment="1" applyFill="1" applyFont="1" applyNumberFormat="1">
      <alignment horizontal="center" vertical="bottom"/>
    </xf>
    <xf borderId="0" fillId="137" fontId="2" numFmtId="0" xfId="0" applyAlignment="1" applyFill="1" applyFont="1">
      <alignment horizontal="center" vertical="bottom"/>
    </xf>
    <xf borderId="0" fillId="138" fontId="2" numFmtId="10" xfId="0" applyAlignment="1" applyFill="1" applyFont="1" applyNumberFormat="1">
      <alignment horizontal="center" vertical="bottom"/>
    </xf>
    <xf borderId="0" fillId="139" fontId="2" numFmtId="10" xfId="0" applyAlignment="1" applyFill="1" applyFont="1" applyNumberFormat="1">
      <alignment horizontal="center" vertical="bottom"/>
    </xf>
    <xf borderId="0" fillId="30" fontId="2" numFmtId="0" xfId="0" applyAlignment="1" applyFont="1">
      <alignment horizontal="center" vertical="bottom"/>
    </xf>
    <xf borderId="0" fillId="140" fontId="2" numFmtId="10" xfId="0" applyAlignment="1" applyFill="1" applyFont="1" applyNumberFormat="1">
      <alignment horizontal="center" vertical="bottom"/>
    </xf>
    <xf borderId="0" fillId="141" fontId="2" numFmtId="10" xfId="0" applyAlignment="1" applyFill="1" applyFont="1" applyNumberFormat="1">
      <alignment horizontal="center" vertical="bottom"/>
    </xf>
    <xf borderId="0" fillId="142" fontId="2" numFmtId="10" xfId="0" applyAlignment="1" applyFill="1" applyFont="1" applyNumberFormat="1">
      <alignment horizontal="center" vertical="bottom"/>
    </xf>
    <xf borderId="0" fillId="143" fontId="2" numFmtId="10" xfId="0" applyAlignment="1" applyFill="1" applyFont="1" applyNumberFormat="1">
      <alignment horizontal="center" vertical="bottom"/>
    </xf>
    <xf borderId="0" fillId="144" fontId="2" numFmtId="10" xfId="0" applyAlignment="1" applyFill="1" applyFont="1" applyNumberFormat="1">
      <alignment horizontal="center" vertical="bottom"/>
    </xf>
    <xf borderId="0" fillId="25" fontId="2" numFmtId="10" xfId="0" applyAlignment="1" applyFont="1" applyNumberFormat="1">
      <alignment horizontal="center" vertical="bottom"/>
    </xf>
    <xf borderId="0" fillId="145" fontId="2" numFmtId="10" xfId="0" applyAlignment="1" applyFill="1" applyFont="1" applyNumberFormat="1">
      <alignment horizontal="center" vertical="bottom"/>
    </xf>
    <xf borderId="0" fillId="146" fontId="2" numFmtId="10" xfId="0" applyAlignment="1" applyFill="1" applyFont="1" applyNumberFormat="1">
      <alignment horizontal="center" vertical="bottom"/>
    </xf>
    <xf borderId="0" fillId="147" fontId="2" numFmtId="10" xfId="0" applyAlignment="1" applyFill="1" applyFont="1" applyNumberFormat="1">
      <alignment horizontal="center" vertical="bottom"/>
    </xf>
    <xf borderId="0" fillId="148" fontId="2" numFmtId="10" xfId="0" applyAlignment="1" applyFill="1" applyFont="1" applyNumberFormat="1">
      <alignment horizontal="center" vertical="bottom"/>
    </xf>
    <xf borderId="0" fillId="149" fontId="2" numFmtId="10" xfId="0" applyAlignment="1" applyFill="1" applyFont="1" applyNumberFormat="1">
      <alignment horizontal="center" vertical="bottom"/>
    </xf>
    <xf borderId="0" fillId="150" fontId="2" numFmtId="10" xfId="0" applyAlignment="1" applyFill="1" applyFont="1" applyNumberFormat="1">
      <alignment horizontal="center" vertical="bottom"/>
    </xf>
    <xf borderId="0" fillId="151" fontId="2" numFmtId="10" xfId="0" applyAlignment="1" applyFill="1" applyFont="1" applyNumberFormat="1">
      <alignment horizontal="center" vertical="bottom"/>
    </xf>
    <xf borderId="0" fillId="89" fontId="2" numFmtId="10" xfId="0" applyAlignment="1" applyFont="1" applyNumberFormat="1">
      <alignment horizontal="center" vertical="bottom"/>
    </xf>
    <xf borderId="0" fillId="152" fontId="2" numFmtId="0" xfId="0" applyAlignment="1" applyFill="1" applyFont="1">
      <alignment horizontal="center" vertical="bottom"/>
    </xf>
    <xf borderId="0" fillId="19" fontId="2" numFmtId="10" xfId="0" applyAlignment="1" applyFont="1" applyNumberFormat="1">
      <alignment horizontal="center" vertical="bottom"/>
    </xf>
    <xf borderId="0" fillId="153" fontId="2" numFmtId="10" xfId="0" applyAlignment="1" applyFill="1" applyFont="1" applyNumberFormat="1">
      <alignment horizontal="center" vertical="bottom"/>
    </xf>
    <xf borderId="0" fillId="154" fontId="2" numFmtId="10" xfId="0" applyAlignment="1" applyFill="1" applyFont="1" applyNumberFormat="1">
      <alignment horizontal="center" vertical="bottom"/>
    </xf>
    <xf borderId="0" fillId="155" fontId="2" numFmtId="10" xfId="0" applyAlignment="1" applyFill="1" applyFont="1" applyNumberFormat="1">
      <alignment horizontal="center" vertical="bottom"/>
    </xf>
    <xf borderId="0" fillId="156" fontId="2" numFmtId="10" xfId="0" applyAlignment="1" applyFill="1" applyFont="1" applyNumberFormat="1">
      <alignment horizontal="center" vertical="bottom"/>
    </xf>
    <xf borderId="0" fillId="29" fontId="2" numFmtId="10" xfId="0" applyAlignment="1" applyFont="1" applyNumberFormat="1">
      <alignment horizontal="center" vertical="bottom"/>
    </xf>
    <xf borderId="0" fillId="157" fontId="2" numFmtId="10" xfId="0" applyAlignment="1" applyFill="1" applyFont="1" applyNumberFormat="1">
      <alignment horizontal="center" vertical="bottom"/>
    </xf>
    <xf borderId="0" fillId="158" fontId="2" numFmtId="0" xfId="0" applyAlignment="1" applyFill="1" applyFont="1">
      <alignment horizontal="center" vertical="bottom"/>
    </xf>
    <xf borderId="0" fillId="159" fontId="2" numFmtId="0" xfId="0" applyAlignment="1" applyFill="1" applyFont="1">
      <alignment horizontal="center" vertical="bottom"/>
    </xf>
    <xf borderId="0" fillId="160" fontId="2" numFmtId="10" xfId="0" applyAlignment="1" applyFill="1" applyFont="1" applyNumberFormat="1">
      <alignment horizontal="center" vertical="bottom"/>
    </xf>
    <xf borderId="0" fillId="161" fontId="2" numFmtId="10" xfId="0" applyAlignment="1" applyFill="1" applyFont="1" applyNumberFormat="1">
      <alignment horizontal="center" vertical="bottom"/>
    </xf>
    <xf borderId="0" fillId="162" fontId="2" numFmtId="10" xfId="0" applyAlignment="1" applyFill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163" fontId="2" numFmtId="0" xfId="0" applyAlignment="1" applyFill="1" applyFont="1">
      <alignment horizontal="center" vertical="bottom"/>
    </xf>
    <xf borderId="0" fillId="164" fontId="2" numFmtId="10" xfId="0" applyAlignment="1" applyFill="1" applyFont="1" applyNumberFormat="1">
      <alignment horizontal="center" vertical="bottom"/>
    </xf>
    <xf borderId="0" fillId="165" fontId="2" numFmtId="10" xfId="0" applyAlignment="1" applyFill="1" applyFont="1" applyNumberFormat="1">
      <alignment horizontal="center" vertical="bottom"/>
    </xf>
    <xf borderId="0" fillId="166" fontId="2" numFmtId="0" xfId="0" applyAlignment="1" applyFill="1" applyFont="1">
      <alignment horizontal="center" vertical="bottom"/>
    </xf>
    <xf borderId="0" fillId="32" fontId="2" numFmtId="0" xfId="0" applyAlignment="1" applyFont="1">
      <alignment horizontal="center" vertical="bottom"/>
    </xf>
    <xf borderId="0" fillId="157" fontId="2" numFmtId="0" xfId="0" applyAlignment="1" applyFont="1">
      <alignment horizontal="center" vertical="bottom"/>
    </xf>
    <xf borderId="0" fillId="167" fontId="2" numFmtId="10" xfId="0" applyAlignment="1" applyFill="1" applyFont="1" applyNumberFormat="1">
      <alignment horizontal="center" vertical="bottom"/>
    </xf>
    <xf borderId="0" fillId="168" fontId="2" numFmtId="0" xfId="0" applyAlignment="1" applyFill="1" applyFont="1">
      <alignment horizontal="center" vertical="bottom"/>
    </xf>
    <xf borderId="0" fillId="169" fontId="2" numFmtId="0" xfId="0" applyAlignment="1" applyFill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134" fontId="2" numFmtId="10" xfId="0" applyAlignment="1" applyFont="1" applyNumberFormat="1">
      <alignment horizontal="center" vertical="bottom"/>
    </xf>
    <xf borderId="0" fillId="170" fontId="2" numFmtId="0" xfId="0" applyAlignment="1" applyFill="1" applyFont="1">
      <alignment horizontal="center" vertical="bottom"/>
    </xf>
    <xf borderId="0" fillId="171" fontId="2" numFmtId="10" xfId="0" applyAlignment="1" applyFill="1" applyFont="1" applyNumberFormat="1">
      <alignment horizontal="center" vertical="bottom"/>
    </xf>
    <xf borderId="0" fillId="172" fontId="2" numFmtId="0" xfId="0" applyAlignment="1" applyFill="1" applyFont="1">
      <alignment horizontal="center" vertical="bottom"/>
    </xf>
    <xf borderId="0" fillId="173" fontId="2" numFmtId="10" xfId="0" applyAlignment="1" applyFill="1" applyFont="1" applyNumberFormat="1">
      <alignment horizontal="center" vertical="bottom"/>
    </xf>
    <xf borderId="0" fillId="174" fontId="2" numFmtId="10" xfId="0" applyAlignment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Ruby Name Popularity -Assinged at Birth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Data!$C$2:$C$1000</c:f>
            </c:strRef>
          </c:cat>
          <c:val>
            <c:numRef>
              <c:f>Data!$D$2:$D$1000</c:f>
              <c:numCache/>
            </c:numRef>
          </c:val>
          <c:smooth val="0"/>
        </c:ser>
        <c:ser>
          <c:idx val="1"/>
          <c:order val="1"/>
          <c:tx>
            <c:strRef>
              <c:f>Data!$E$1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Data!$C$2:$C$1000</c:f>
            </c:strRef>
          </c:cat>
          <c:val>
            <c:numRef>
              <c:f>Data!$E$2:$E$1000</c:f>
              <c:numCache/>
            </c:numRef>
          </c:val>
          <c:smooth val="0"/>
        </c:ser>
        <c:axId val="1004931285"/>
        <c:axId val="2101814784"/>
      </c:lineChart>
      <c:catAx>
        <c:axId val="1004931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814784"/>
      </c:catAx>
      <c:valAx>
        <c:axId val="2101814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Baby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931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6</v>
      </c>
      <c r="B2" s="4" t="s">
        <v>7</v>
      </c>
      <c r="C2" s="4">
        <v>1880.0</v>
      </c>
      <c r="D2" s="5">
        <v>92.0</v>
      </c>
      <c r="E2" s="6"/>
      <c r="F2" s="3"/>
      <c r="G2" s="3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6</v>
      </c>
      <c r="B3" s="4" t="s">
        <v>7</v>
      </c>
      <c r="C3" s="4">
        <v>1881.0</v>
      </c>
      <c r="D3" s="5">
        <v>119.0</v>
      </c>
      <c r="E3" s="6"/>
      <c r="F3" s="8">
        <f t="shared" ref="F3:F144" si="1">(D3-D2)/D2</f>
        <v>0.2934782609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6</v>
      </c>
      <c r="B4" s="4" t="s">
        <v>7</v>
      </c>
      <c r="C4" s="4">
        <v>1882.0</v>
      </c>
      <c r="D4" s="5">
        <v>136.0</v>
      </c>
      <c r="E4" s="6"/>
      <c r="F4" s="9">
        <f t="shared" si="1"/>
        <v>0.1428571429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6</v>
      </c>
      <c r="B5" s="4" t="s">
        <v>7</v>
      </c>
      <c r="C5" s="4">
        <v>1883.0</v>
      </c>
      <c r="D5" s="10">
        <v>163.0</v>
      </c>
      <c r="E5" s="6"/>
      <c r="F5" s="11">
        <f t="shared" si="1"/>
        <v>0.1985294118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6</v>
      </c>
      <c r="B6" s="4" t="s">
        <v>7</v>
      </c>
      <c r="C6" s="4">
        <v>1884.0</v>
      </c>
      <c r="D6" s="12">
        <v>244.0</v>
      </c>
      <c r="E6" s="13">
        <f t="shared" ref="E6:E140" si="2">average(D2:D10)</f>
        <v>231.2222222</v>
      </c>
      <c r="F6" s="14">
        <f t="shared" si="1"/>
        <v>0.4969325153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6</v>
      </c>
      <c r="B7" s="4" t="s">
        <v>7</v>
      </c>
      <c r="C7" s="4">
        <v>1885.0</v>
      </c>
      <c r="D7" s="12">
        <v>272.0</v>
      </c>
      <c r="E7" s="13">
        <f t="shared" si="2"/>
        <v>279</v>
      </c>
      <c r="F7" s="15">
        <f t="shared" si="1"/>
        <v>0.1147540984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6</v>
      </c>
      <c r="B8" s="4" t="s">
        <v>7</v>
      </c>
      <c r="C8" s="4">
        <v>1886.0</v>
      </c>
      <c r="D8" s="16">
        <v>301.0</v>
      </c>
      <c r="E8" s="13">
        <f t="shared" si="2"/>
        <v>325.7777778</v>
      </c>
      <c r="F8" s="17">
        <f t="shared" si="1"/>
        <v>0.1066176471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6</v>
      </c>
      <c r="B9" s="4" t="s">
        <v>7</v>
      </c>
      <c r="C9" s="4">
        <v>1887.0</v>
      </c>
      <c r="D9" s="18">
        <v>309.0</v>
      </c>
      <c r="E9" s="13">
        <f t="shared" si="2"/>
        <v>372.2222222</v>
      </c>
      <c r="F9" s="19">
        <f t="shared" si="1"/>
        <v>0.02657807309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6</v>
      </c>
      <c r="B10" s="4" t="s">
        <v>7</v>
      </c>
      <c r="C10" s="4">
        <v>1888.0</v>
      </c>
      <c r="D10" s="20">
        <v>445.0</v>
      </c>
      <c r="E10" s="13">
        <f t="shared" si="2"/>
        <v>431.3333333</v>
      </c>
      <c r="F10" s="21">
        <f t="shared" si="1"/>
        <v>0.4401294498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6</v>
      </c>
      <c r="B11" s="4" t="s">
        <v>7</v>
      </c>
      <c r="C11" s="4">
        <v>1889.0</v>
      </c>
      <c r="D11" s="22">
        <v>522.0</v>
      </c>
      <c r="E11" s="13">
        <f t="shared" si="2"/>
        <v>489.6666667</v>
      </c>
      <c r="F11" s="23">
        <f t="shared" si="1"/>
        <v>0.1730337079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6</v>
      </c>
      <c r="B12" s="4" t="s">
        <v>7</v>
      </c>
      <c r="C12" s="4">
        <v>1890.0</v>
      </c>
      <c r="D12" s="24">
        <v>540.0</v>
      </c>
      <c r="E12" s="13">
        <f t="shared" si="2"/>
        <v>556.5555556</v>
      </c>
      <c r="F12" s="25">
        <f t="shared" si="1"/>
        <v>0.03448275862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6</v>
      </c>
      <c r="B13" s="4" t="s">
        <v>7</v>
      </c>
      <c r="C13" s="4">
        <v>1891.0</v>
      </c>
      <c r="D13" s="24">
        <v>554.0</v>
      </c>
      <c r="E13" s="13">
        <f t="shared" si="2"/>
        <v>629.1111111</v>
      </c>
      <c r="F13" s="19">
        <f t="shared" si="1"/>
        <v>0.02592592593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6</v>
      </c>
      <c r="B14" s="4" t="s">
        <v>7</v>
      </c>
      <c r="C14" s="4">
        <v>1892.0</v>
      </c>
      <c r="D14" s="26">
        <v>695.0</v>
      </c>
      <c r="E14" s="13">
        <f t="shared" si="2"/>
        <v>705.2222222</v>
      </c>
      <c r="F14" s="27">
        <f t="shared" si="1"/>
        <v>0.2545126354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6</v>
      </c>
      <c r="B15" s="4" t="s">
        <v>7</v>
      </c>
      <c r="C15" s="4">
        <v>1893.0</v>
      </c>
      <c r="D15" s="28">
        <v>769.0</v>
      </c>
      <c r="E15" s="13">
        <f t="shared" si="2"/>
        <v>769.6666667</v>
      </c>
      <c r="F15" s="29">
        <f t="shared" si="1"/>
        <v>0.1064748201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6</v>
      </c>
      <c r="B16" s="4" t="s">
        <v>7</v>
      </c>
      <c r="C16" s="4">
        <v>1894.0</v>
      </c>
      <c r="D16" s="30">
        <v>874.0</v>
      </c>
      <c r="E16" s="13">
        <f t="shared" si="2"/>
        <v>844</v>
      </c>
      <c r="F16" s="31">
        <f t="shared" si="1"/>
        <v>0.1365409623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6</v>
      </c>
      <c r="B17" s="4" t="s">
        <v>7</v>
      </c>
      <c r="C17" s="4">
        <v>1895.0</v>
      </c>
      <c r="D17" s="32">
        <v>954.0</v>
      </c>
      <c r="E17" s="13">
        <f t="shared" si="2"/>
        <v>906.5555556</v>
      </c>
      <c r="F17" s="33">
        <f t="shared" si="1"/>
        <v>0.09153318078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6</v>
      </c>
      <c r="B18" s="4" t="s">
        <v>7</v>
      </c>
      <c r="C18" s="4">
        <v>1896.0</v>
      </c>
      <c r="D18" s="34">
        <v>994.0</v>
      </c>
      <c r="E18" s="13">
        <f t="shared" si="2"/>
        <v>1016.111111</v>
      </c>
      <c r="F18" s="35">
        <f t="shared" si="1"/>
        <v>0.04192872117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6</v>
      </c>
      <c r="B19" s="4" t="s">
        <v>7</v>
      </c>
      <c r="C19" s="4">
        <v>1897.0</v>
      </c>
      <c r="D19" s="36">
        <v>1025.0</v>
      </c>
      <c r="E19" s="13">
        <f t="shared" si="2"/>
        <v>1075</v>
      </c>
      <c r="F19" s="37">
        <f t="shared" si="1"/>
        <v>0.03118712274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6</v>
      </c>
      <c r="B20" s="4" t="s">
        <v>7</v>
      </c>
      <c r="C20" s="4">
        <v>1898.0</v>
      </c>
      <c r="D20" s="38">
        <v>1191.0</v>
      </c>
      <c r="E20" s="13">
        <f t="shared" si="2"/>
        <v>1151.555556</v>
      </c>
      <c r="F20" s="39">
        <f t="shared" si="1"/>
        <v>0.1619512195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</v>
      </c>
      <c r="B21" s="4" t="s">
        <v>7</v>
      </c>
      <c r="C21" s="4">
        <v>1899.0</v>
      </c>
      <c r="D21" s="40">
        <v>1103.0</v>
      </c>
      <c r="E21" s="13">
        <f t="shared" si="2"/>
        <v>1225.333333</v>
      </c>
      <c r="F21" s="41">
        <f t="shared" si="1"/>
        <v>-0.0738874895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</v>
      </c>
      <c r="B22" s="4" t="s">
        <v>7</v>
      </c>
      <c r="C22" s="4">
        <v>1900.0</v>
      </c>
      <c r="D22" s="42">
        <v>1540.0</v>
      </c>
      <c r="E22" s="13">
        <f t="shared" si="2"/>
        <v>1308.333333</v>
      </c>
      <c r="F22" s="43">
        <f t="shared" si="1"/>
        <v>0.3961922031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</v>
      </c>
      <c r="B23" s="4" t="s">
        <v>7</v>
      </c>
      <c r="C23" s="4">
        <v>1901.0</v>
      </c>
      <c r="D23" s="44">
        <v>1225.0</v>
      </c>
      <c r="E23" s="13">
        <f t="shared" si="2"/>
        <v>1407.333333</v>
      </c>
      <c r="F23" s="45">
        <f t="shared" si="1"/>
        <v>-0.2045454545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</v>
      </c>
      <c r="B24" s="4" t="s">
        <v>7</v>
      </c>
      <c r="C24" s="4">
        <v>1902.0</v>
      </c>
      <c r="D24" s="46">
        <v>1458.0</v>
      </c>
      <c r="E24" s="13">
        <f t="shared" si="2"/>
        <v>1511.444444</v>
      </c>
      <c r="F24" s="47">
        <f t="shared" si="1"/>
        <v>0.1902040816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6</v>
      </c>
      <c r="B25" s="4" t="s">
        <v>7</v>
      </c>
      <c r="C25" s="4">
        <v>1903.0</v>
      </c>
      <c r="D25" s="42">
        <v>1538.0</v>
      </c>
      <c r="E25" s="13">
        <f t="shared" si="2"/>
        <v>1613.888889</v>
      </c>
      <c r="F25" s="48">
        <f t="shared" si="1"/>
        <v>0.0548696845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6</v>
      </c>
      <c r="B26" s="4" t="s">
        <v>7</v>
      </c>
      <c r="C26" s="4">
        <v>1904.0</v>
      </c>
      <c r="D26" s="49">
        <v>1701.0</v>
      </c>
      <c r="E26" s="13">
        <f t="shared" si="2"/>
        <v>1739</v>
      </c>
      <c r="F26" s="50">
        <f t="shared" si="1"/>
        <v>0.1059817945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6</v>
      </c>
      <c r="B27" s="4" t="s">
        <v>7</v>
      </c>
      <c r="C27" s="4">
        <v>1905.0</v>
      </c>
      <c r="D27" s="51">
        <v>1885.0</v>
      </c>
      <c r="E27" s="13">
        <f t="shared" si="2"/>
        <v>1848.333333</v>
      </c>
      <c r="F27" s="17">
        <f t="shared" si="1"/>
        <v>0.1081716637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6</v>
      </c>
      <c r="B28" s="4" t="s">
        <v>7</v>
      </c>
      <c r="C28" s="4">
        <v>1906.0</v>
      </c>
      <c r="D28" s="52">
        <v>1962.0</v>
      </c>
      <c r="E28" s="13">
        <f t="shared" si="2"/>
        <v>2033.666667</v>
      </c>
      <c r="F28" s="53">
        <f t="shared" si="1"/>
        <v>0.04084880637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6</v>
      </c>
      <c r="B29" s="4" t="s">
        <v>7</v>
      </c>
      <c r="C29" s="4">
        <v>1907.0</v>
      </c>
      <c r="D29" s="54">
        <v>2113.0</v>
      </c>
      <c r="E29" s="13">
        <f t="shared" si="2"/>
        <v>2246.333333</v>
      </c>
      <c r="F29" s="55">
        <f t="shared" si="1"/>
        <v>0.07696228338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6</v>
      </c>
      <c r="B30" s="4" t="s">
        <v>7</v>
      </c>
      <c r="C30" s="4">
        <v>1908.0</v>
      </c>
      <c r="D30" s="56">
        <v>2229.0</v>
      </c>
      <c r="E30" s="13">
        <f t="shared" si="2"/>
        <v>2570.111111</v>
      </c>
      <c r="F30" s="48">
        <f t="shared" si="1"/>
        <v>0.05489824894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6</v>
      </c>
      <c r="B31" s="4" t="s">
        <v>7</v>
      </c>
      <c r="C31" s="4">
        <v>1909.0</v>
      </c>
      <c r="D31" s="57">
        <v>2524.0</v>
      </c>
      <c r="E31" s="13">
        <f t="shared" si="2"/>
        <v>2927</v>
      </c>
      <c r="F31" s="58">
        <f t="shared" si="1"/>
        <v>0.1323463437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6</v>
      </c>
      <c r="B32" s="4" t="s">
        <v>7</v>
      </c>
      <c r="C32" s="4">
        <v>1910.0</v>
      </c>
      <c r="D32" s="59">
        <v>2893.0</v>
      </c>
      <c r="E32" s="13">
        <f t="shared" si="2"/>
        <v>3342.555556</v>
      </c>
      <c r="F32" s="60">
        <f t="shared" si="1"/>
        <v>0.1461965135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6</v>
      </c>
      <c r="B33" s="4" t="s">
        <v>7</v>
      </c>
      <c r="C33" s="4">
        <v>1911.0</v>
      </c>
      <c r="D33" s="61">
        <v>3372.0</v>
      </c>
      <c r="E33" s="13">
        <f t="shared" si="2"/>
        <v>3928.666667</v>
      </c>
      <c r="F33" s="62">
        <f t="shared" si="1"/>
        <v>0.1655720705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6</v>
      </c>
      <c r="B34" s="4" t="s">
        <v>7</v>
      </c>
      <c r="C34" s="4">
        <v>1912.0</v>
      </c>
      <c r="D34" s="63">
        <v>4452.0</v>
      </c>
      <c r="E34" s="13">
        <f t="shared" si="2"/>
        <v>4547.888889</v>
      </c>
      <c r="F34" s="64">
        <f t="shared" si="1"/>
        <v>0.3202846975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6</v>
      </c>
      <c r="B35" s="4" t="s">
        <v>7</v>
      </c>
      <c r="C35" s="4">
        <v>1913.0</v>
      </c>
      <c r="D35" s="65">
        <v>4913.0</v>
      </c>
      <c r="E35" s="13">
        <f t="shared" si="2"/>
        <v>5151.555556</v>
      </c>
      <c r="F35" s="50">
        <f t="shared" si="1"/>
        <v>0.1035489668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6</v>
      </c>
      <c r="B36" s="4" t="s">
        <v>7</v>
      </c>
      <c r="C36" s="4">
        <v>1914.0</v>
      </c>
      <c r="D36" s="66">
        <v>5625.0</v>
      </c>
      <c r="E36" s="13">
        <f t="shared" si="2"/>
        <v>5774.888889</v>
      </c>
      <c r="F36" s="67">
        <f t="shared" si="1"/>
        <v>0.1449216365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6</v>
      </c>
      <c r="B37" s="4" t="s">
        <v>7</v>
      </c>
      <c r="C37" s="4">
        <v>1915.0</v>
      </c>
      <c r="D37" s="68">
        <v>7237.0</v>
      </c>
      <c r="E37" s="13">
        <f t="shared" si="2"/>
        <v>6379.444444</v>
      </c>
      <c r="F37" s="69">
        <f t="shared" si="1"/>
        <v>0.2865777778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6</v>
      </c>
      <c r="B38" s="4" t="s">
        <v>7</v>
      </c>
      <c r="C38" s="4">
        <v>1916.0</v>
      </c>
      <c r="D38" s="70">
        <v>7686.0</v>
      </c>
      <c r="E38" s="13">
        <f t="shared" si="2"/>
        <v>6931</v>
      </c>
      <c r="F38" s="71">
        <f t="shared" si="1"/>
        <v>0.06204228271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6</v>
      </c>
      <c r="B39" s="4" t="s">
        <v>7</v>
      </c>
      <c r="C39" s="4">
        <v>1917.0</v>
      </c>
      <c r="D39" s="72">
        <v>7662.0</v>
      </c>
      <c r="E39" s="13">
        <f t="shared" si="2"/>
        <v>7362.222222</v>
      </c>
      <c r="F39" s="73">
        <f t="shared" si="1"/>
        <v>-0.0031225605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6</v>
      </c>
      <c r="B40" s="4" t="s">
        <v>7</v>
      </c>
      <c r="C40" s="4">
        <v>1918.0</v>
      </c>
      <c r="D40" s="74">
        <v>8134.0</v>
      </c>
      <c r="E40" s="13">
        <f t="shared" si="2"/>
        <v>7705.555556</v>
      </c>
      <c r="F40" s="71">
        <f t="shared" si="1"/>
        <v>0.0616027147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6</v>
      </c>
      <c r="B41" s="4" t="s">
        <v>7</v>
      </c>
      <c r="C41" s="4">
        <v>1919.0</v>
      </c>
      <c r="D41" s="75">
        <v>8334.0</v>
      </c>
      <c r="E41" s="13">
        <f t="shared" si="2"/>
        <v>7995.222222</v>
      </c>
      <c r="F41" s="76">
        <f t="shared" si="1"/>
        <v>0.02458814851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6</v>
      </c>
      <c r="B42" s="4" t="s">
        <v>7</v>
      </c>
      <c r="C42" s="4">
        <v>1920.0</v>
      </c>
      <c r="D42" s="77">
        <v>8336.0</v>
      </c>
      <c r="E42" s="13">
        <f t="shared" si="2"/>
        <v>8125.111111</v>
      </c>
      <c r="F42" s="78">
        <f t="shared" si="1"/>
        <v>0.0002399808015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6</v>
      </c>
      <c r="B43" s="4" t="s">
        <v>7</v>
      </c>
      <c r="C43" s="4">
        <v>1921.0</v>
      </c>
      <c r="D43" s="75">
        <v>8333.0</v>
      </c>
      <c r="E43" s="13">
        <f t="shared" si="2"/>
        <v>8142.555556</v>
      </c>
      <c r="F43" s="79">
        <f t="shared" si="1"/>
        <v>-0.0003598848369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6</v>
      </c>
      <c r="B44" s="4" t="s">
        <v>7</v>
      </c>
      <c r="C44" s="4">
        <v>1922.0</v>
      </c>
      <c r="D44" s="80">
        <v>8003.0</v>
      </c>
      <c r="E44" s="13">
        <f t="shared" si="2"/>
        <v>8121.777778</v>
      </c>
      <c r="F44" s="81">
        <f t="shared" si="1"/>
        <v>-0.03960158406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6</v>
      </c>
      <c r="B45" s="4" t="s">
        <v>7</v>
      </c>
      <c r="C45" s="4">
        <v>1923.0</v>
      </c>
      <c r="D45" s="82">
        <v>8232.0</v>
      </c>
      <c r="E45" s="13">
        <f t="shared" si="2"/>
        <v>8025.111111</v>
      </c>
      <c r="F45" s="83">
        <f t="shared" si="1"/>
        <v>0.02861426965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6</v>
      </c>
      <c r="B46" s="4" t="s">
        <v>7</v>
      </c>
      <c r="C46" s="4">
        <v>1924.0</v>
      </c>
      <c r="D46" s="84">
        <v>8406.0</v>
      </c>
      <c r="E46" s="13">
        <f t="shared" si="2"/>
        <v>7842.666667</v>
      </c>
      <c r="F46" s="85">
        <f t="shared" si="1"/>
        <v>0.02113702624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6</v>
      </c>
      <c r="B47" s="4" t="s">
        <v>7</v>
      </c>
      <c r="C47" s="4">
        <v>1925.0</v>
      </c>
      <c r="D47" s="86">
        <v>7843.0</v>
      </c>
      <c r="E47" s="13">
        <f t="shared" si="2"/>
        <v>7599.888889</v>
      </c>
      <c r="F47" s="87">
        <f t="shared" si="1"/>
        <v>-0.06697596955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6</v>
      </c>
      <c r="B48" s="4" t="s">
        <v>7</v>
      </c>
      <c r="C48" s="4">
        <v>1926.0</v>
      </c>
      <c r="D48" s="88">
        <v>7475.0</v>
      </c>
      <c r="E48" s="13">
        <f t="shared" si="2"/>
        <v>7339.888889</v>
      </c>
      <c r="F48" s="89">
        <f t="shared" si="1"/>
        <v>-0.04692082111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6</v>
      </c>
      <c r="B49" s="4" t="s">
        <v>7</v>
      </c>
      <c r="C49" s="4">
        <v>1927.0</v>
      </c>
      <c r="D49" s="68">
        <v>7264.0</v>
      </c>
      <c r="E49" s="13">
        <f t="shared" si="2"/>
        <v>7043.222222</v>
      </c>
      <c r="F49" s="90">
        <f t="shared" si="1"/>
        <v>-0.02822742475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6</v>
      </c>
      <c r="B50" s="4" t="s">
        <v>7</v>
      </c>
      <c r="C50" s="4">
        <v>1928.0</v>
      </c>
      <c r="D50" s="91">
        <v>6692.0</v>
      </c>
      <c r="E50" s="13">
        <f t="shared" si="2"/>
        <v>6736.111111</v>
      </c>
      <c r="F50" s="92">
        <f t="shared" si="1"/>
        <v>-0.07874449339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6</v>
      </c>
      <c r="B51" s="4" t="s">
        <v>7</v>
      </c>
      <c r="C51" s="4">
        <v>1929.0</v>
      </c>
      <c r="D51" s="93">
        <v>6151.0</v>
      </c>
      <c r="E51" s="13">
        <f t="shared" si="2"/>
        <v>6351.444444</v>
      </c>
      <c r="F51" s="94">
        <f t="shared" si="1"/>
        <v>-0.08084279737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6</v>
      </c>
      <c r="B52" s="4" t="s">
        <v>7</v>
      </c>
      <c r="C52" s="4">
        <v>1930.0</v>
      </c>
      <c r="D52" s="95">
        <v>5993.0</v>
      </c>
      <c r="E52" s="13">
        <f t="shared" si="2"/>
        <v>6033</v>
      </c>
      <c r="F52" s="96">
        <f t="shared" si="1"/>
        <v>-0.02568688018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6</v>
      </c>
      <c r="B53" s="4" t="s">
        <v>7</v>
      </c>
      <c r="C53" s="4">
        <v>1931.0</v>
      </c>
      <c r="D53" s="97">
        <v>5333.0</v>
      </c>
      <c r="E53" s="13">
        <f t="shared" si="2"/>
        <v>5731.777778</v>
      </c>
      <c r="F53" s="98">
        <f t="shared" si="1"/>
        <v>-0.1101284832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6</v>
      </c>
      <c r="B54" s="4" t="s">
        <v>7</v>
      </c>
      <c r="C54" s="4">
        <v>1932.0</v>
      </c>
      <c r="D54" s="99">
        <v>5468.0</v>
      </c>
      <c r="E54" s="13">
        <f t="shared" si="2"/>
        <v>5394.222222</v>
      </c>
      <c r="F54" s="76">
        <f t="shared" si="1"/>
        <v>0.02531408213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6</v>
      </c>
      <c r="B55" s="4" t="s">
        <v>7</v>
      </c>
      <c r="C55" s="4">
        <v>1933.0</v>
      </c>
      <c r="D55" s="100">
        <v>4944.0</v>
      </c>
      <c r="E55" s="13">
        <f t="shared" si="2"/>
        <v>5127.333333</v>
      </c>
      <c r="F55" s="101">
        <f t="shared" si="1"/>
        <v>-0.0958302853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6</v>
      </c>
      <c r="B56" s="4" t="s">
        <v>7</v>
      </c>
      <c r="C56" s="4">
        <v>1934.0</v>
      </c>
      <c r="D56" s="100">
        <v>4977.0</v>
      </c>
      <c r="E56" s="13">
        <f t="shared" si="2"/>
        <v>4881.777778</v>
      </c>
      <c r="F56" s="102">
        <f t="shared" si="1"/>
        <v>0.006674757282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6</v>
      </c>
      <c r="B57" s="4" t="s">
        <v>7</v>
      </c>
      <c r="C57" s="4">
        <v>1935.0</v>
      </c>
      <c r="D57" s="103">
        <v>4764.0</v>
      </c>
      <c r="E57" s="13">
        <f t="shared" si="2"/>
        <v>4628.333333</v>
      </c>
      <c r="F57" s="104">
        <f t="shared" si="1"/>
        <v>-0.04279686558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6</v>
      </c>
      <c r="B58" s="4" t="s">
        <v>7</v>
      </c>
      <c r="C58" s="4">
        <v>1936.0</v>
      </c>
      <c r="D58" s="105">
        <v>4226.0</v>
      </c>
      <c r="E58" s="13">
        <f t="shared" si="2"/>
        <v>4437.888889</v>
      </c>
      <c r="F58" s="106">
        <f t="shared" si="1"/>
        <v>-0.1129303107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6</v>
      </c>
      <c r="B59" s="4" t="s">
        <v>7</v>
      </c>
      <c r="C59" s="4">
        <v>1937.0</v>
      </c>
      <c r="D59" s="107">
        <v>4290.0</v>
      </c>
      <c r="E59" s="13">
        <f t="shared" si="2"/>
        <v>4228.222222</v>
      </c>
      <c r="F59" s="108">
        <f t="shared" si="1"/>
        <v>0.01514434453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6</v>
      </c>
      <c r="B60" s="4" t="s">
        <v>7</v>
      </c>
      <c r="C60" s="4">
        <v>1938.0</v>
      </c>
      <c r="D60" s="109">
        <v>3941.0</v>
      </c>
      <c r="E60" s="13">
        <f t="shared" si="2"/>
        <v>4070.111111</v>
      </c>
      <c r="F60" s="110">
        <f t="shared" si="1"/>
        <v>-0.08135198135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6</v>
      </c>
      <c r="B61" s="4" t="s">
        <v>7</v>
      </c>
      <c r="C61" s="4">
        <v>1939.0</v>
      </c>
      <c r="D61" s="111">
        <v>3712.0</v>
      </c>
      <c r="E61" s="13">
        <f t="shared" si="2"/>
        <v>3902.333333</v>
      </c>
      <c r="F61" s="112">
        <f t="shared" si="1"/>
        <v>-0.05810707942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6</v>
      </c>
      <c r="B62" s="4" t="s">
        <v>7</v>
      </c>
      <c r="C62" s="4">
        <v>1940.0</v>
      </c>
      <c r="D62" s="113">
        <v>3619.0</v>
      </c>
      <c r="E62" s="13">
        <f t="shared" si="2"/>
        <v>3727.333333</v>
      </c>
      <c r="F62" s="96">
        <f t="shared" si="1"/>
        <v>-0.02505387931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6</v>
      </c>
      <c r="B63" s="4" t="s">
        <v>7</v>
      </c>
      <c r="C63" s="4">
        <v>1941.0</v>
      </c>
      <c r="D63" s="114">
        <v>3581.0</v>
      </c>
      <c r="E63" s="13">
        <f t="shared" si="2"/>
        <v>3580.555556</v>
      </c>
      <c r="F63" s="115">
        <f t="shared" si="1"/>
        <v>-0.01050013816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6</v>
      </c>
      <c r="B64" s="4" t="s">
        <v>7</v>
      </c>
      <c r="C64" s="4">
        <v>1942.0</v>
      </c>
      <c r="D64" s="116">
        <v>3521.0</v>
      </c>
      <c r="E64" s="13">
        <f t="shared" si="2"/>
        <v>3442.666667</v>
      </c>
      <c r="F64" s="117">
        <f t="shared" si="1"/>
        <v>-0.01675509634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6</v>
      </c>
      <c r="B65" s="4" t="s">
        <v>7</v>
      </c>
      <c r="C65" s="4">
        <v>1943.0</v>
      </c>
      <c r="D65" s="118">
        <v>3467.0</v>
      </c>
      <c r="E65" s="13">
        <f t="shared" si="2"/>
        <v>3345.888889</v>
      </c>
      <c r="F65" s="119">
        <f t="shared" si="1"/>
        <v>-0.01533655212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6</v>
      </c>
      <c r="B66" s="4" t="s">
        <v>7</v>
      </c>
      <c r="C66" s="4">
        <v>1944.0</v>
      </c>
      <c r="D66" s="120">
        <v>3189.0</v>
      </c>
      <c r="E66" s="13">
        <f t="shared" si="2"/>
        <v>3255</v>
      </c>
      <c r="F66" s="121">
        <f t="shared" si="1"/>
        <v>-0.08018459763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6</v>
      </c>
      <c r="B67" s="4" t="s">
        <v>7</v>
      </c>
      <c r="C67" s="4">
        <v>1945.0</v>
      </c>
      <c r="D67" s="122">
        <v>2905.0</v>
      </c>
      <c r="E67" s="13">
        <f t="shared" si="2"/>
        <v>3139.111111</v>
      </c>
      <c r="F67" s="123">
        <f t="shared" si="1"/>
        <v>-0.08905613045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6</v>
      </c>
      <c r="B68" s="4" t="s">
        <v>7</v>
      </c>
      <c r="C68" s="4">
        <v>1946.0</v>
      </c>
      <c r="D68" s="124">
        <v>3049.0</v>
      </c>
      <c r="E68" s="13">
        <f t="shared" si="2"/>
        <v>3009.555556</v>
      </c>
      <c r="F68" s="125">
        <f t="shared" si="1"/>
        <v>0.0495697074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6</v>
      </c>
      <c r="B69" s="4" t="s">
        <v>7</v>
      </c>
      <c r="C69" s="4">
        <v>1947.0</v>
      </c>
      <c r="D69" s="126">
        <v>3070.0</v>
      </c>
      <c r="E69" s="13">
        <f t="shared" si="2"/>
        <v>2879.555556</v>
      </c>
      <c r="F69" s="102">
        <f t="shared" si="1"/>
        <v>0.0068875041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6</v>
      </c>
      <c r="B70" s="4" t="s">
        <v>7</v>
      </c>
      <c r="C70" s="4">
        <v>1948.0</v>
      </c>
      <c r="D70" s="59">
        <v>2894.0</v>
      </c>
      <c r="E70" s="13">
        <f t="shared" si="2"/>
        <v>2758.111111</v>
      </c>
      <c r="F70" s="127">
        <f t="shared" si="1"/>
        <v>-0.05732899023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6</v>
      </c>
      <c r="B71" s="4" t="s">
        <v>7</v>
      </c>
      <c r="C71" s="4">
        <v>1949.0</v>
      </c>
      <c r="D71" s="128">
        <v>2576.0</v>
      </c>
      <c r="E71" s="13">
        <f t="shared" si="2"/>
        <v>2664</v>
      </c>
      <c r="F71" s="98">
        <f t="shared" si="1"/>
        <v>-0.1098825155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6</v>
      </c>
      <c r="B72" s="4" t="s">
        <v>7</v>
      </c>
      <c r="C72" s="4">
        <v>1950.0</v>
      </c>
      <c r="D72" s="129">
        <v>2415.0</v>
      </c>
      <c r="E72" s="13">
        <f t="shared" si="2"/>
        <v>2579.333333</v>
      </c>
      <c r="F72" s="130">
        <f t="shared" si="1"/>
        <v>-0.0625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6</v>
      </c>
      <c r="B73" s="4" t="s">
        <v>7</v>
      </c>
      <c r="C73" s="4">
        <v>1951.0</v>
      </c>
      <c r="D73" s="131">
        <v>2351.0</v>
      </c>
      <c r="E73" s="13">
        <f t="shared" si="2"/>
        <v>2463.777778</v>
      </c>
      <c r="F73" s="132">
        <f t="shared" si="1"/>
        <v>-0.0265010352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6</v>
      </c>
      <c r="B74" s="4" t="s">
        <v>7</v>
      </c>
      <c r="C74" s="4">
        <v>1952.0</v>
      </c>
      <c r="D74" s="129">
        <v>2374.0</v>
      </c>
      <c r="E74" s="13">
        <f t="shared" si="2"/>
        <v>2344</v>
      </c>
      <c r="F74" s="133">
        <f t="shared" si="1"/>
        <v>0.009783071034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6</v>
      </c>
      <c r="B75" s="4" t="s">
        <v>7</v>
      </c>
      <c r="C75" s="4">
        <v>1953.0</v>
      </c>
      <c r="D75" s="131">
        <v>2342.0</v>
      </c>
      <c r="E75" s="13">
        <f t="shared" si="2"/>
        <v>2220.666667</v>
      </c>
      <c r="F75" s="134">
        <f t="shared" si="1"/>
        <v>-0.01347935973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6</v>
      </c>
      <c r="B76" s="4" t="s">
        <v>7</v>
      </c>
      <c r="C76" s="4">
        <v>1954.0</v>
      </c>
      <c r="D76" s="135">
        <v>2143.0</v>
      </c>
      <c r="E76" s="13">
        <f t="shared" si="2"/>
        <v>2116.666667</v>
      </c>
      <c r="F76" s="136">
        <f t="shared" si="1"/>
        <v>-0.08497011102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6</v>
      </c>
      <c r="B77" s="4" t="s">
        <v>7</v>
      </c>
      <c r="C77" s="4">
        <v>1955.0</v>
      </c>
      <c r="D77" s="137">
        <v>2009.0</v>
      </c>
      <c r="E77" s="13">
        <f t="shared" si="2"/>
        <v>2015</v>
      </c>
      <c r="F77" s="130">
        <f t="shared" si="1"/>
        <v>-0.06252916472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6</v>
      </c>
      <c r="B78" s="4" t="s">
        <v>7</v>
      </c>
      <c r="C78" s="4">
        <v>1956.0</v>
      </c>
      <c r="D78" s="137">
        <v>1992.0</v>
      </c>
      <c r="E78" s="13">
        <f t="shared" si="2"/>
        <v>1907.888889</v>
      </c>
      <c r="F78" s="138">
        <f t="shared" si="1"/>
        <v>-0.008461921354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6</v>
      </c>
      <c r="B79" s="4" t="s">
        <v>7</v>
      </c>
      <c r="C79" s="4">
        <v>1957.0</v>
      </c>
      <c r="D79" s="139">
        <v>1784.0</v>
      </c>
      <c r="E79" s="13">
        <f t="shared" si="2"/>
        <v>1786.111111</v>
      </c>
      <c r="F79" s="140">
        <f t="shared" si="1"/>
        <v>-0.1044176707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6</v>
      </c>
      <c r="B80" s="4" t="s">
        <v>7</v>
      </c>
      <c r="C80" s="4">
        <v>1958.0</v>
      </c>
      <c r="D80" s="141">
        <v>1640.0</v>
      </c>
      <c r="E80" s="13">
        <f t="shared" si="2"/>
        <v>1653.444444</v>
      </c>
      <c r="F80" s="94">
        <f t="shared" si="1"/>
        <v>-0.08071748879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6</v>
      </c>
      <c r="B81" s="4" t="s">
        <v>7</v>
      </c>
      <c r="C81" s="4">
        <v>1959.0</v>
      </c>
      <c r="D81" s="142">
        <v>1500.0</v>
      </c>
      <c r="E81" s="13">
        <f t="shared" si="2"/>
        <v>1568.777778</v>
      </c>
      <c r="F81" s="136">
        <f t="shared" si="1"/>
        <v>-0.08536585366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6</v>
      </c>
      <c r="B82" s="4" t="s">
        <v>7</v>
      </c>
      <c r="C82" s="4">
        <v>1960.0</v>
      </c>
      <c r="D82" s="143">
        <v>1387.0</v>
      </c>
      <c r="E82" s="13">
        <f t="shared" si="2"/>
        <v>1469.333333</v>
      </c>
      <c r="F82" s="144">
        <f t="shared" si="1"/>
        <v>-0.07533333333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6</v>
      </c>
      <c r="B83" s="4" t="s">
        <v>7</v>
      </c>
      <c r="C83" s="4">
        <v>1961.0</v>
      </c>
      <c r="D83" s="145">
        <v>1278.0</v>
      </c>
      <c r="E83" s="13">
        <f t="shared" si="2"/>
        <v>1357.444444</v>
      </c>
      <c r="F83" s="92">
        <f t="shared" si="1"/>
        <v>-0.07858687815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6</v>
      </c>
      <c r="B84" s="4" t="s">
        <v>7</v>
      </c>
      <c r="C84" s="4">
        <v>1962.0</v>
      </c>
      <c r="D84" s="146">
        <v>1148.0</v>
      </c>
      <c r="E84" s="13">
        <f t="shared" si="2"/>
        <v>1248.888889</v>
      </c>
      <c r="F84" s="147">
        <f t="shared" si="1"/>
        <v>-0.1017214397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6</v>
      </c>
      <c r="B85" s="4" t="s">
        <v>7</v>
      </c>
      <c r="C85" s="4">
        <v>1963.0</v>
      </c>
      <c r="D85" s="143">
        <v>1381.0</v>
      </c>
      <c r="E85" s="13">
        <f t="shared" si="2"/>
        <v>1149.444444</v>
      </c>
      <c r="F85" s="148">
        <f t="shared" si="1"/>
        <v>0.2029616725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6</v>
      </c>
      <c r="B86" s="4" t="s">
        <v>7</v>
      </c>
      <c r="C86" s="4">
        <v>1964.0</v>
      </c>
      <c r="D86" s="40">
        <v>1114.0</v>
      </c>
      <c r="E86" s="13">
        <f t="shared" si="2"/>
        <v>1053.777778</v>
      </c>
      <c r="F86" s="149">
        <f t="shared" si="1"/>
        <v>-0.1933381608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6</v>
      </c>
      <c r="B87" s="4" t="s">
        <v>7</v>
      </c>
      <c r="C87" s="4">
        <v>1965.0</v>
      </c>
      <c r="D87" s="34">
        <v>985.0</v>
      </c>
      <c r="E87" s="13">
        <f t="shared" si="2"/>
        <v>975.3333333</v>
      </c>
      <c r="F87" s="150">
        <f t="shared" si="1"/>
        <v>-0.1157989228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6</v>
      </c>
      <c r="B88" s="4" t="s">
        <v>7</v>
      </c>
      <c r="C88" s="4">
        <v>1966.0</v>
      </c>
      <c r="D88" s="151">
        <v>807.0</v>
      </c>
      <c r="E88" s="13">
        <f t="shared" si="2"/>
        <v>910.5555556</v>
      </c>
      <c r="F88" s="152">
        <f t="shared" si="1"/>
        <v>-0.1807106599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6</v>
      </c>
      <c r="B89" s="4" t="s">
        <v>7</v>
      </c>
      <c r="C89" s="4">
        <v>1967.0</v>
      </c>
      <c r="D89" s="28">
        <v>745.0</v>
      </c>
      <c r="E89" s="13">
        <f t="shared" si="2"/>
        <v>864.1111111</v>
      </c>
      <c r="F89" s="153">
        <f t="shared" si="1"/>
        <v>-0.07682775713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6</v>
      </c>
      <c r="B90" s="4" t="s">
        <v>7</v>
      </c>
      <c r="C90" s="4">
        <v>1968.0</v>
      </c>
      <c r="D90" s="154">
        <v>639.0</v>
      </c>
      <c r="E90" s="13">
        <f t="shared" si="2"/>
        <v>781.5555556</v>
      </c>
      <c r="F90" s="155">
        <f t="shared" si="1"/>
        <v>-0.1422818792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6</v>
      </c>
      <c r="B91" s="4" t="s">
        <v>7</v>
      </c>
      <c r="C91" s="4">
        <v>1969.0</v>
      </c>
      <c r="D91" s="156">
        <v>681.0</v>
      </c>
      <c r="E91" s="13">
        <f t="shared" si="2"/>
        <v>728.3333333</v>
      </c>
      <c r="F91" s="157">
        <f t="shared" si="1"/>
        <v>0.06572769953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6</v>
      </c>
      <c r="B92" s="4" t="s">
        <v>7</v>
      </c>
      <c r="C92" s="4">
        <v>1970.0</v>
      </c>
      <c r="D92" s="26">
        <v>695.0</v>
      </c>
      <c r="E92" s="13">
        <f t="shared" si="2"/>
        <v>685.6666667</v>
      </c>
      <c r="F92" s="158">
        <f t="shared" si="1"/>
        <v>0.02055800294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6</v>
      </c>
      <c r="B93" s="4" t="s">
        <v>7</v>
      </c>
      <c r="C93" s="4">
        <v>1971.0</v>
      </c>
      <c r="D93" s="159">
        <v>730.0</v>
      </c>
      <c r="E93" s="13">
        <f t="shared" si="2"/>
        <v>665.8888889</v>
      </c>
      <c r="F93" s="160">
        <f t="shared" si="1"/>
        <v>0.05035971223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6</v>
      </c>
      <c r="B94" s="4" t="s">
        <v>7</v>
      </c>
      <c r="C94" s="4">
        <v>1972.0</v>
      </c>
      <c r="D94" s="154">
        <v>638.0</v>
      </c>
      <c r="E94" s="13">
        <f t="shared" si="2"/>
        <v>651.5555556</v>
      </c>
      <c r="F94" s="161">
        <f t="shared" si="1"/>
        <v>-0.1260273973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6</v>
      </c>
      <c r="B95" s="4" t="s">
        <v>7</v>
      </c>
      <c r="C95" s="4">
        <v>1973.0</v>
      </c>
      <c r="D95" s="162">
        <v>635.0</v>
      </c>
      <c r="E95" s="13">
        <f t="shared" si="2"/>
        <v>647.3333333</v>
      </c>
      <c r="F95" s="163">
        <f t="shared" si="1"/>
        <v>-0.004702194357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6</v>
      </c>
      <c r="B96" s="4" t="s">
        <v>7</v>
      </c>
      <c r="C96" s="4">
        <v>1974.0</v>
      </c>
      <c r="D96" s="162">
        <v>601.0</v>
      </c>
      <c r="E96" s="13">
        <f t="shared" si="2"/>
        <v>641.4444444</v>
      </c>
      <c r="F96" s="164">
        <f t="shared" si="1"/>
        <v>-0.05354330709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6</v>
      </c>
      <c r="B97" s="4" t="s">
        <v>7</v>
      </c>
      <c r="C97" s="4">
        <v>1975.0</v>
      </c>
      <c r="D97" s="162">
        <v>629.0</v>
      </c>
      <c r="E97" s="13">
        <f t="shared" si="2"/>
        <v>637.6666667</v>
      </c>
      <c r="F97" s="165">
        <f t="shared" si="1"/>
        <v>0.0465890183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6</v>
      </c>
      <c r="B98" s="4" t="s">
        <v>7</v>
      </c>
      <c r="C98" s="4">
        <v>1976.0</v>
      </c>
      <c r="D98" s="162">
        <v>616.0</v>
      </c>
      <c r="E98" s="13">
        <f t="shared" si="2"/>
        <v>629.7777778</v>
      </c>
      <c r="F98" s="166">
        <f t="shared" si="1"/>
        <v>-0.02066772655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6</v>
      </c>
      <c r="B99" s="4" t="s">
        <v>7</v>
      </c>
      <c r="C99" s="4">
        <v>1977.0</v>
      </c>
      <c r="D99" s="162">
        <v>601.0</v>
      </c>
      <c r="E99" s="13">
        <f t="shared" si="2"/>
        <v>634.1111111</v>
      </c>
      <c r="F99" s="167">
        <f t="shared" si="1"/>
        <v>-0.02435064935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6</v>
      </c>
      <c r="B100" s="4" t="s">
        <v>7</v>
      </c>
      <c r="C100" s="4">
        <v>1978.0</v>
      </c>
      <c r="D100" s="162">
        <v>628.0</v>
      </c>
      <c r="E100" s="13">
        <f t="shared" si="2"/>
        <v>632.6666667</v>
      </c>
      <c r="F100" s="165">
        <f t="shared" si="1"/>
        <v>0.04492512479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6</v>
      </c>
      <c r="B101" s="4" t="s">
        <v>7</v>
      </c>
      <c r="C101" s="4">
        <v>1979.0</v>
      </c>
      <c r="D101" s="156">
        <v>661.0</v>
      </c>
      <c r="E101" s="13">
        <f t="shared" si="2"/>
        <v>631.6666667</v>
      </c>
      <c r="F101" s="168">
        <f t="shared" si="1"/>
        <v>0.0525477707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6</v>
      </c>
      <c r="B102" s="4" t="s">
        <v>7</v>
      </c>
      <c r="C102" s="4">
        <v>1980.0</v>
      </c>
      <c r="D102" s="154">
        <v>659.0</v>
      </c>
      <c r="E102" s="13">
        <f t="shared" si="2"/>
        <v>627.8888889</v>
      </c>
      <c r="F102" s="73">
        <f t="shared" si="1"/>
        <v>-0.003025718608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6</v>
      </c>
      <c r="B103" s="4" t="s">
        <v>7</v>
      </c>
      <c r="C103" s="4">
        <v>1981.0</v>
      </c>
      <c r="D103" s="156">
        <v>677.0</v>
      </c>
      <c r="E103" s="13">
        <f t="shared" si="2"/>
        <v>625.3333333</v>
      </c>
      <c r="F103" s="83">
        <f t="shared" si="1"/>
        <v>0.02731411229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6</v>
      </c>
      <c r="B104" s="4" t="s">
        <v>7</v>
      </c>
      <c r="C104" s="4">
        <v>1982.0</v>
      </c>
      <c r="D104" s="162">
        <v>622.0</v>
      </c>
      <c r="E104" s="13">
        <f t="shared" si="2"/>
        <v>620.5555556</v>
      </c>
      <c r="F104" s="110">
        <f t="shared" si="1"/>
        <v>-0.08124076809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6</v>
      </c>
      <c r="B105" s="4" t="s">
        <v>7</v>
      </c>
      <c r="C105" s="4">
        <v>1983.0</v>
      </c>
      <c r="D105" s="162">
        <v>592.0</v>
      </c>
      <c r="E105" s="13">
        <f t="shared" si="2"/>
        <v>620.8888889</v>
      </c>
      <c r="F105" s="169">
        <f t="shared" si="1"/>
        <v>-0.04823151125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6</v>
      </c>
      <c r="B106" s="4" t="s">
        <v>7</v>
      </c>
      <c r="C106" s="4">
        <v>1984.0</v>
      </c>
      <c r="D106" s="162">
        <v>595.0</v>
      </c>
      <c r="E106" s="13">
        <f t="shared" si="2"/>
        <v>616.4444444</v>
      </c>
      <c r="F106" s="170">
        <f t="shared" si="1"/>
        <v>0.005067567568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6</v>
      </c>
      <c r="B107" s="4" t="s">
        <v>7</v>
      </c>
      <c r="C107" s="4">
        <v>1985.0</v>
      </c>
      <c r="D107" s="162">
        <v>593.0</v>
      </c>
      <c r="E107" s="13">
        <f t="shared" si="2"/>
        <v>628.2222222</v>
      </c>
      <c r="F107" s="171">
        <f t="shared" si="1"/>
        <v>-0.003361344538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6</v>
      </c>
      <c r="B108" s="4" t="s">
        <v>7</v>
      </c>
      <c r="C108" s="4">
        <v>1986.0</v>
      </c>
      <c r="D108" s="24">
        <v>558.0</v>
      </c>
      <c r="E108" s="13">
        <f t="shared" si="2"/>
        <v>659</v>
      </c>
      <c r="F108" s="172">
        <f t="shared" si="1"/>
        <v>-0.05902192243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6</v>
      </c>
      <c r="B109" s="4" t="s">
        <v>7</v>
      </c>
      <c r="C109" s="4">
        <v>1987.0</v>
      </c>
      <c r="D109" s="162">
        <v>631.0</v>
      </c>
      <c r="E109" s="13">
        <f t="shared" si="2"/>
        <v>701.4444444</v>
      </c>
      <c r="F109" s="173">
        <f t="shared" si="1"/>
        <v>0.1308243728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6</v>
      </c>
      <c r="B110" s="4" t="s">
        <v>7</v>
      </c>
      <c r="C110" s="4">
        <v>1988.0</v>
      </c>
      <c r="D110" s="162">
        <v>621.0</v>
      </c>
      <c r="E110" s="13">
        <f t="shared" si="2"/>
        <v>751.2222222</v>
      </c>
      <c r="F110" s="174">
        <f t="shared" si="1"/>
        <v>-0.01584786054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6</v>
      </c>
      <c r="B111" s="4" t="s">
        <v>7</v>
      </c>
      <c r="C111" s="4">
        <v>1989.0</v>
      </c>
      <c r="D111" s="28">
        <v>765.0</v>
      </c>
      <c r="E111" s="13">
        <f t="shared" si="2"/>
        <v>799.8888889</v>
      </c>
      <c r="F111" s="175">
        <f t="shared" si="1"/>
        <v>0.231884058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6</v>
      </c>
      <c r="B112" s="4" t="s">
        <v>7</v>
      </c>
      <c r="C112" s="4">
        <v>1990.0</v>
      </c>
      <c r="D112" s="32">
        <v>954.0</v>
      </c>
      <c r="E112" s="13">
        <f t="shared" si="2"/>
        <v>848.5555556</v>
      </c>
      <c r="F112" s="176">
        <f t="shared" si="1"/>
        <v>0.2470588235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6</v>
      </c>
      <c r="B113" s="4" t="s">
        <v>7</v>
      </c>
      <c r="C113" s="4">
        <v>1991.0</v>
      </c>
      <c r="D113" s="34">
        <v>1004.0</v>
      </c>
      <c r="E113" s="13">
        <f t="shared" si="2"/>
        <v>903.5555556</v>
      </c>
      <c r="F113" s="168">
        <f t="shared" si="1"/>
        <v>0.05241090147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6</v>
      </c>
      <c r="B114" s="4" t="s">
        <v>7</v>
      </c>
      <c r="C114" s="4">
        <v>1992.0</v>
      </c>
      <c r="D114" s="177">
        <v>1040.0</v>
      </c>
      <c r="E114" s="13">
        <f t="shared" si="2"/>
        <v>942.8888889</v>
      </c>
      <c r="F114" s="178">
        <f t="shared" si="1"/>
        <v>0.03585657371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6</v>
      </c>
      <c r="B115" s="4" t="s">
        <v>7</v>
      </c>
      <c r="C115" s="4">
        <v>1993.0</v>
      </c>
      <c r="D115" s="177">
        <v>1033.0</v>
      </c>
      <c r="E115" s="13">
        <f t="shared" si="2"/>
        <v>989.4444444</v>
      </c>
      <c r="F115" s="179">
        <f t="shared" si="1"/>
        <v>-0.006730769231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6</v>
      </c>
      <c r="B116" s="4" t="s">
        <v>7</v>
      </c>
      <c r="C116" s="4">
        <v>1994.0</v>
      </c>
      <c r="D116" s="36">
        <v>1031.0</v>
      </c>
      <c r="E116" s="13">
        <f t="shared" si="2"/>
        <v>1038.555556</v>
      </c>
      <c r="F116" s="180">
        <f t="shared" si="1"/>
        <v>-0.001936108422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6</v>
      </c>
      <c r="B117" s="4" t="s">
        <v>7</v>
      </c>
      <c r="C117" s="4">
        <v>1995.0</v>
      </c>
      <c r="D117" s="177">
        <v>1053.0</v>
      </c>
      <c r="E117" s="13">
        <f t="shared" si="2"/>
        <v>1066.888889</v>
      </c>
      <c r="F117" s="181">
        <f t="shared" si="1"/>
        <v>0.0213385063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6</v>
      </c>
      <c r="B118" s="4" t="s">
        <v>7</v>
      </c>
      <c r="C118" s="4">
        <v>1996.0</v>
      </c>
      <c r="D118" s="34">
        <v>985.0</v>
      </c>
      <c r="E118" s="13">
        <f t="shared" si="2"/>
        <v>1095.888889</v>
      </c>
      <c r="F118" s="182">
        <f t="shared" si="1"/>
        <v>-0.06457739791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6</v>
      </c>
      <c r="B119" s="4" t="s">
        <v>7</v>
      </c>
      <c r="C119" s="4">
        <v>1997.0</v>
      </c>
      <c r="D119" s="177">
        <v>1040.0</v>
      </c>
      <c r="E119" s="13">
        <f t="shared" si="2"/>
        <v>1132</v>
      </c>
      <c r="F119" s="183">
        <f t="shared" si="1"/>
        <v>0.05583756345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6</v>
      </c>
      <c r="B120" s="4" t="s">
        <v>7</v>
      </c>
      <c r="C120" s="4">
        <v>1998.0</v>
      </c>
      <c r="D120" s="44">
        <v>1207.0</v>
      </c>
      <c r="E120" s="13">
        <f t="shared" si="2"/>
        <v>1192.666667</v>
      </c>
      <c r="F120" s="184">
        <f t="shared" si="1"/>
        <v>0.1605769231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6</v>
      </c>
      <c r="B121" s="4" t="s">
        <v>7</v>
      </c>
      <c r="C121" s="4">
        <v>1999.0</v>
      </c>
      <c r="D121" s="44">
        <v>1209.0</v>
      </c>
      <c r="E121" s="13">
        <f t="shared" si="2"/>
        <v>1267.666667</v>
      </c>
      <c r="F121" s="78">
        <f t="shared" si="1"/>
        <v>0.001657000829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6</v>
      </c>
      <c r="B122" s="4" t="s">
        <v>7</v>
      </c>
      <c r="C122" s="4">
        <v>2000.0</v>
      </c>
      <c r="D122" s="145">
        <v>1265.0</v>
      </c>
      <c r="E122" s="13">
        <f t="shared" si="2"/>
        <v>1386.222222</v>
      </c>
      <c r="F122" s="165">
        <f t="shared" si="1"/>
        <v>0.04631927213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6</v>
      </c>
      <c r="B123" s="4" t="s">
        <v>7</v>
      </c>
      <c r="C123" s="4">
        <v>2001.0</v>
      </c>
      <c r="D123" s="185">
        <v>1365.0</v>
      </c>
      <c r="E123" s="13">
        <f t="shared" si="2"/>
        <v>1551.333333</v>
      </c>
      <c r="F123" s="55">
        <f t="shared" si="1"/>
        <v>0.0790513834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6</v>
      </c>
      <c r="B124" s="4" t="s">
        <v>7</v>
      </c>
      <c r="C124" s="4">
        <v>2002.0</v>
      </c>
      <c r="D124" s="186">
        <v>1579.0</v>
      </c>
      <c r="E124" s="13">
        <f t="shared" si="2"/>
        <v>1722.444444</v>
      </c>
      <c r="F124" s="187">
        <f t="shared" si="1"/>
        <v>0.1567765568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6</v>
      </c>
      <c r="B125" s="4" t="s">
        <v>7</v>
      </c>
      <c r="C125" s="4">
        <v>2003.0</v>
      </c>
      <c r="D125" s="49">
        <v>1706.0</v>
      </c>
      <c r="E125" s="13">
        <f t="shared" si="2"/>
        <v>1910.333333</v>
      </c>
      <c r="F125" s="188">
        <f t="shared" si="1"/>
        <v>0.08043065231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6</v>
      </c>
      <c r="B126" s="4" t="s">
        <v>7</v>
      </c>
      <c r="C126" s="4">
        <v>2004.0</v>
      </c>
      <c r="D126" s="54">
        <v>2120.0</v>
      </c>
      <c r="E126" s="13">
        <f t="shared" si="2"/>
        <v>2111.555556</v>
      </c>
      <c r="F126" s="189">
        <f t="shared" si="1"/>
        <v>0.2426729191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6</v>
      </c>
      <c r="B127" s="4" t="s">
        <v>7</v>
      </c>
      <c r="C127" s="4">
        <v>2005.0</v>
      </c>
      <c r="D127" s="190">
        <v>2471.0</v>
      </c>
      <c r="E127" s="13">
        <f t="shared" si="2"/>
        <v>2306.444444</v>
      </c>
      <c r="F127" s="62">
        <f t="shared" si="1"/>
        <v>0.1655660377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6</v>
      </c>
      <c r="B128" s="4" t="s">
        <v>7</v>
      </c>
      <c r="C128" s="4">
        <v>2006.0</v>
      </c>
      <c r="D128" s="191">
        <v>2580.0</v>
      </c>
      <c r="E128" s="13">
        <f t="shared" si="2"/>
        <v>2465.444444</v>
      </c>
      <c r="F128" s="192">
        <f t="shared" si="1"/>
        <v>0.04411169567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6</v>
      </c>
      <c r="B129" s="4" t="s">
        <v>7</v>
      </c>
      <c r="C129" s="4">
        <v>2007.0</v>
      </c>
      <c r="D129" s="59">
        <v>2898.0</v>
      </c>
      <c r="E129" s="13">
        <f t="shared" si="2"/>
        <v>2597.555556</v>
      </c>
      <c r="F129" s="193">
        <f t="shared" si="1"/>
        <v>0.123255814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6</v>
      </c>
      <c r="B130" s="4" t="s">
        <v>7</v>
      </c>
      <c r="C130" s="4">
        <v>2008.0</v>
      </c>
      <c r="D130" s="194">
        <v>3020.0</v>
      </c>
      <c r="E130" s="13">
        <f t="shared" si="2"/>
        <v>2732</v>
      </c>
      <c r="F130" s="35">
        <f t="shared" si="1"/>
        <v>0.04209799862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6</v>
      </c>
      <c r="B131" s="4" t="s">
        <v>7</v>
      </c>
      <c r="C131" s="4">
        <v>2009.0</v>
      </c>
      <c r="D131" s="194">
        <v>3019.0</v>
      </c>
      <c r="E131" s="13">
        <f t="shared" si="2"/>
        <v>2865.222222</v>
      </c>
      <c r="F131" s="79">
        <f t="shared" si="1"/>
        <v>-0.0003311258278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6</v>
      </c>
      <c r="B132" s="4" t="s">
        <v>7</v>
      </c>
      <c r="C132" s="4">
        <v>2010.0</v>
      </c>
      <c r="D132" s="195">
        <v>2796.0</v>
      </c>
      <c r="E132" s="13">
        <f t="shared" si="2"/>
        <v>2971.444444</v>
      </c>
      <c r="F132" s="41">
        <f t="shared" si="1"/>
        <v>-0.07386551838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6</v>
      </c>
      <c r="B133" s="4" t="s">
        <v>7</v>
      </c>
      <c r="C133" s="4">
        <v>2011.0</v>
      </c>
      <c r="D133" s="196">
        <v>2768.0</v>
      </c>
      <c r="E133" s="13">
        <f t="shared" si="2"/>
        <v>3070</v>
      </c>
      <c r="F133" s="197">
        <f t="shared" si="1"/>
        <v>-0.01001430615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6</v>
      </c>
      <c r="B134" s="4" t="s">
        <v>7</v>
      </c>
      <c r="C134" s="4">
        <v>2012.0</v>
      </c>
      <c r="D134" s="198">
        <v>2916.0</v>
      </c>
      <c r="E134" s="13">
        <f t="shared" si="2"/>
        <v>3175.111111</v>
      </c>
      <c r="F134" s="48">
        <f t="shared" si="1"/>
        <v>0.05346820809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6</v>
      </c>
      <c r="B135" s="4" t="s">
        <v>7</v>
      </c>
      <c r="C135" s="4">
        <v>2013.0</v>
      </c>
      <c r="D135" s="199">
        <v>3319.0</v>
      </c>
      <c r="E135" s="13">
        <f t="shared" si="2"/>
        <v>3237.555556</v>
      </c>
      <c r="F135" s="31">
        <f t="shared" si="1"/>
        <v>0.1382030178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6</v>
      </c>
      <c r="B136" s="4" t="s">
        <v>7</v>
      </c>
      <c r="C136" s="4">
        <v>2014.0</v>
      </c>
      <c r="D136" s="200">
        <v>3427.0</v>
      </c>
      <c r="E136" s="13">
        <f t="shared" si="2"/>
        <v>3300.333333</v>
      </c>
      <c r="F136" s="201">
        <f t="shared" si="1"/>
        <v>0.03253992166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6</v>
      </c>
      <c r="B137" s="4" t="s">
        <v>7</v>
      </c>
      <c r="C137" s="4">
        <v>2015.0</v>
      </c>
      <c r="D137" s="118">
        <v>3467.0</v>
      </c>
      <c r="E137" s="13">
        <f t="shared" si="2"/>
        <v>3404.444444</v>
      </c>
      <c r="F137" s="133">
        <f t="shared" si="1"/>
        <v>0.01167201634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6</v>
      </c>
      <c r="B138" s="4" t="s">
        <v>7</v>
      </c>
      <c r="C138" s="4">
        <v>2016.0</v>
      </c>
      <c r="D138" s="202">
        <v>3844.0</v>
      </c>
      <c r="E138" s="13">
        <f t="shared" si="2"/>
        <v>3467.111111</v>
      </c>
      <c r="F138" s="17">
        <f t="shared" si="1"/>
        <v>0.1087395443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6</v>
      </c>
      <c r="B139" s="4" t="s">
        <v>7</v>
      </c>
      <c r="C139" s="4">
        <v>2017.0</v>
      </c>
      <c r="D139" s="114">
        <v>3582.0</v>
      </c>
      <c r="E139" s="13">
        <f t="shared" si="2"/>
        <v>3541.777778</v>
      </c>
      <c r="F139" s="203">
        <f t="shared" si="1"/>
        <v>-0.06815816857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6</v>
      </c>
      <c r="B140" s="4" t="s">
        <v>7</v>
      </c>
      <c r="C140" s="4">
        <v>2018.0</v>
      </c>
      <c r="D140" s="114">
        <v>3584.0</v>
      </c>
      <c r="E140" s="13">
        <f t="shared" si="2"/>
        <v>3572.222222</v>
      </c>
      <c r="F140" s="78">
        <f t="shared" si="1"/>
        <v>0.000558347292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6</v>
      </c>
      <c r="B141" s="4" t="s">
        <v>7</v>
      </c>
      <c r="C141" s="4">
        <v>2019.0</v>
      </c>
      <c r="D141" s="204">
        <v>3733.0</v>
      </c>
      <c r="E141" s="6"/>
      <c r="F141" s="35">
        <f t="shared" si="1"/>
        <v>0.04157366071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6</v>
      </c>
      <c r="B142" s="4" t="s">
        <v>7</v>
      </c>
      <c r="C142" s="4">
        <v>2020.0</v>
      </c>
      <c r="D142" s="199">
        <v>3332.0</v>
      </c>
      <c r="E142" s="6"/>
      <c r="F142" s="205">
        <f t="shared" si="1"/>
        <v>-0.1074203054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6</v>
      </c>
      <c r="B143" s="4" t="s">
        <v>7</v>
      </c>
      <c r="C143" s="4">
        <v>2021.0</v>
      </c>
      <c r="D143" s="114">
        <v>3588.0</v>
      </c>
      <c r="E143" s="6"/>
      <c r="F143" s="206">
        <f t="shared" si="1"/>
        <v>0.07683073229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6</v>
      </c>
      <c r="B144" s="4" t="s">
        <v>7</v>
      </c>
      <c r="C144" s="4">
        <v>2022.0</v>
      </c>
      <c r="D144" s="114">
        <v>3593.0</v>
      </c>
      <c r="E144" s="6"/>
      <c r="F144" s="78">
        <f t="shared" si="1"/>
        <v>0.001393534002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00"/>
  <drawing r:id="rId1"/>
</worksheet>
</file>